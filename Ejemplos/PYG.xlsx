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ielalejandromartinez-my.sharepoint.com/personal/alejandro_tecnotics_com/Documents/Escritorio/"/>
    </mc:Choice>
  </mc:AlternateContent>
  <xr:revisionPtr revIDLastSave="438" documentId="8_{01B8A8BC-D669-4075-BFB3-3CA4B1586897}" xr6:coauthVersionLast="47" xr6:coauthVersionMax="47" xr10:uidLastSave="{D98A5C46-5CA0-4D1E-9352-030C28561E0A}"/>
  <bookViews>
    <workbookView xWindow="-120" yWindow="-120" windowWidth="29040" windowHeight="15720" activeTab="3" xr2:uid="{768A7C05-12A4-4B79-B7C2-6653A6BCE553}"/>
  </bookViews>
  <sheets>
    <sheet name="ingresos" sheetId="1" r:id="rId1"/>
    <sheet name="Hoja3ok" sheetId="3" r:id="rId2"/>
    <sheet name="Costos" sheetId="2" r:id="rId3"/>
    <sheet name="Análisis Costos" sheetId="10" r:id="rId4"/>
    <sheet name="Hoja1" sheetId="9" r:id="rId5"/>
  </sheets>
  <definedNames>
    <definedName name="_xlnm._FilterDatabase" localSheetId="2" hidden="1">Costos!$A$1:$N$554</definedName>
    <definedName name="_xlnm._FilterDatabase" localSheetId="0" hidden="1">ingresos!$A$1:$N$343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0" l="1"/>
  <c r="I24" i="10"/>
  <c r="I23" i="10"/>
  <c r="I22" i="10"/>
  <c r="I21" i="10"/>
  <c r="I20" i="10"/>
  <c r="K14" i="10"/>
  <c r="L14" i="10" s="1"/>
  <c r="J14" i="10"/>
  <c r="K13" i="10"/>
  <c r="L13" i="10" s="1"/>
  <c r="J13" i="10"/>
  <c r="K12" i="10"/>
  <c r="L12" i="10" s="1"/>
  <c r="J12" i="10"/>
  <c r="K11" i="10"/>
  <c r="L11" i="10" s="1"/>
  <c r="J11" i="10"/>
  <c r="K10" i="10"/>
  <c r="L10" i="10" s="1"/>
  <c r="J10" i="10"/>
  <c r="K9" i="10"/>
  <c r="L9" i="10" s="1"/>
  <c r="J9" i="10"/>
  <c r="K8" i="10"/>
  <c r="L8" i="10" s="1"/>
  <c r="J8" i="10"/>
  <c r="K7" i="10"/>
  <c r="L7" i="10" s="1"/>
  <c r="J7" i="10"/>
  <c r="K6" i="10"/>
  <c r="L6" i="10" s="1"/>
  <c r="J6" i="10"/>
  <c r="K5" i="10"/>
  <c r="L5" i="10" s="1"/>
  <c r="J5" i="10"/>
  <c r="F16" i="10"/>
  <c r="E16" i="10"/>
  <c r="D16" i="10"/>
  <c r="C16" i="10"/>
  <c r="B16" i="10"/>
  <c r="E15" i="10"/>
  <c r="F15" i="10" s="1"/>
  <c r="D15" i="10"/>
  <c r="C15" i="10"/>
  <c r="B15" i="10"/>
  <c r="E14" i="10"/>
  <c r="F14" i="10" s="1"/>
  <c r="D14" i="10"/>
  <c r="C14" i="10"/>
  <c r="B14" i="10"/>
  <c r="E13" i="10"/>
  <c r="F13" i="10" s="1"/>
  <c r="D13" i="10"/>
  <c r="C13" i="10"/>
  <c r="B13" i="10"/>
  <c r="E12" i="10"/>
  <c r="F12" i="10" s="1"/>
  <c r="D12" i="10"/>
  <c r="C12" i="10"/>
  <c r="B12" i="10"/>
  <c r="E11" i="10"/>
  <c r="F11" i="10" s="1"/>
  <c r="D11" i="10"/>
  <c r="C11" i="10"/>
  <c r="B11" i="10"/>
  <c r="E10" i="10"/>
  <c r="F10" i="10" s="1"/>
  <c r="D10" i="10"/>
  <c r="C10" i="10"/>
  <c r="B10" i="10"/>
  <c r="E9" i="10"/>
  <c r="F9" i="10" s="1"/>
  <c r="D9" i="10"/>
  <c r="C9" i="10"/>
  <c r="B9" i="10"/>
  <c r="E8" i="10"/>
  <c r="F8" i="10" s="1"/>
  <c r="D8" i="10"/>
  <c r="C8" i="10"/>
  <c r="B8" i="10"/>
  <c r="E7" i="10"/>
  <c r="F7" i="10" s="1"/>
  <c r="D7" i="10"/>
  <c r="C7" i="10"/>
  <c r="B7" i="10"/>
  <c r="E6" i="10"/>
  <c r="F6" i="10" s="1"/>
  <c r="D6" i="10"/>
  <c r="C6" i="10"/>
  <c r="B6" i="10"/>
  <c r="F5" i="10"/>
  <c r="E5" i="10"/>
  <c r="D5" i="10"/>
  <c r="C5" i="10"/>
  <c r="B5" i="10"/>
  <c r="A9" i="10"/>
  <c r="A10" i="10" s="1"/>
  <c r="A11" i="10" s="1"/>
  <c r="A12" i="10" s="1"/>
  <c r="A13" i="10" s="1"/>
  <c r="A14" i="10" s="1"/>
  <c r="A15" i="10" s="1"/>
  <c r="A8" i="10"/>
  <c r="A7" i="10"/>
  <c r="A6" i="10"/>
  <c r="A5" i="10"/>
  <c r="I555" i="2"/>
  <c r="O521" i="2"/>
  <c r="O520" i="2"/>
  <c r="O507" i="2"/>
  <c r="O481" i="2"/>
  <c r="O474" i="2"/>
  <c r="O466" i="2"/>
  <c r="O463" i="2"/>
  <c r="O439" i="2"/>
  <c r="O428" i="2"/>
  <c r="O423" i="2"/>
  <c r="O421" i="2"/>
  <c r="O420" i="2"/>
  <c r="O416" i="2"/>
  <c r="O402" i="2"/>
  <c r="O400" i="2"/>
  <c r="O399" i="2"/>
  <c r="O394" i="2"/>
  <c r="O393" i="2"/>
  <c r="O391" i="2"/>
  <c r="O385" i="2"/>
  <c r="O380" i="2"/>
  <c r="O341" i="2"/>
  <c r="O300" i="2"/>
  <c r="O290" i="2"/>
  <c r="O286" i="2"/>
  <c r="O285" i="2"/>
  <c r="O242" i="2"/>
  <c r="O241" i="2"/>
  <c r="O239" i="2"/>
  <c r="O232" i="2"/>
  <c r="O221" i="2"/>
  <c r="O215" i="2"/>
  <c r="O202" i="2"/>
  <c r="O179" i="2"/>
  <c r="O169" i="2"/>
  <c r="O155" i="2"/>
  <c r="O153" i="2"/>
  <c r="O152" i="2"/>
  <c r="O141" i="2"/>
  <c r="O138" i="2"/>
  <c r="O128" i="2"/>
  <c r="O103" i="2"/>
  <c r="O26" i="2"/>
  <c r="O469" i="2"/>
  <c r="O332" i="2"/>
  <c r="O331" i="2"/>
  <c r="O272" i="2"/>
  <c r="O269" i="2"/>
  <c r="O243" i="2"/>
  <c r="O237" i="2"/>
  <c r="O222" i="2"/>
  <c r="O131" i="2"/>
  <c r="O107" i="2"/>
  <c r="O53" i="2"/>
  <c r="O122" i="2"/>
  <c r="O447" i="2"/>
  <c r="O90" i="2"/>
  <c r="O381" i="2"/>
  <c r="O68" i="2"/>
  <c r="Q238" i="2"/>
  <c r="O238" i="2"/>
  <c r="O384" i="2"/>
  <c r="O379" i="2"/>
  <c r="O378" i="2"/>
  <c r="O362" i="2"/>
  <c r="O343" i="2"/>
  <c r="O334" i="2"/>
  <c r="O315" i="2"/>
  <c r="O294" i="2"/>
  <c r="O287" i="2"/>
  <c r="O276" i="2"/>
  <c r="O265" i="2"/>
  <c r="O244" i="2"/>
  <c r="O233" i="2"/>
  <c r="O217" i="2"/>
  <c r="O206" i="2"/>
  <c r="O188" i="2"/>
  <c r="O166" i="2"/>
  <c r="O148" i="2"/>
  <c r="O139" i="2"/>
  <c r="O127" i="2"/>
  <c r="O100" i="2"/>
  <c r="O84" i="2"/>
  <c r="O77" i="2"/>
  <c r="O64" i="2"/>
  <c r="O54" i="2"/>
  <c r="O25" i="2"/>
  <c r="P511" i="2"/>
  <c r="P464" i="2"/>
  <c r="P427" i="2"/>
  <c r="P390" i="2"/>
  <c r="G80" i="9"/>
  <c r="C79" i="9"/>
  <c r="J15" i="10" l="1"/>
  <c r="J16" i="10" s="1"/>
  <c r="K15" i="10"/>
  <c r="L15" i="10" s="1"/>
  <c r="J67" i="9"/>
  <c r="K67" i="9"/>
  <c r="K16" i="10" l="1"/>
  <c r="L16" i="10" s="1"/>
  <c r="L67" i="9"/>
  <c r="N343" i="1"/>
  <c r="M343" i="1"/>
  <c r="L343" i="1"/>
  <c r="K343" i="1"/>
  <c r="J343" i="1"/>
  <c r="C80" i="9"/>
  <c r="I3" i="1" l="1"/>
  <c r="I324" i="1"/>
  <c r="I10" i="1"/>
  <c r="I9" i="1"/>
  <c r="I335" i="1"/>
  <c r="I12" i="1"/>
  <c r="I7" i="1"/>
  <c r="I4" i="1"/>
  <c r="I14" i="1"/>
  <c r="I18" i="1"/>
  <c r="I16" i="1"/>
  <c r="I19" i="1"/>
  <c r="I6" i="1"/>
  <c r="I5" i="1"/>
  <c r="I20" i="1"/>
  <c r="I21" i="1"/>
  <c r="I22" i="1"/>
  <c r="I29" i="1"/>
  <c r="I31" i="1"/>
  <c r="I32" i="1"/>
  <c r="I33" i="1"/>
  <c r="I34" i="1"/>
  <c r="I35" i="1"/>
  <c r="I36" i="1"/>
  <c r="I37" i="1"/>
  <c r="I38" i="1"/>
  <c r="I39" i="1"/>
  <c r="I23" i="1"/>
  <c r="I40" i="1"/>
  <c r="I28" i="1"/>
  <c r="I41" i="1"/>
  <c r="I43" i="1"/>
  <c r="I44" i="1"/>
  <c r="I46" i="1"/>
  <c r="I47" i="1"/>
  <c r="I48" i="1"/>
  <c r="I49" i="1"/>
  <c r="I50" i="1"/>
  <c r="I51" i="1"/>
  <c r="I54" i="1"/>
  <c r="I55" i="1"/>
  <c r="I56" i="1"/>
  <c r="I58" i="1"/>
  <c r="I59" i="1"/>
  <c r="I60" i="1"/>
  <c r="I61" i="1"/>
  <c r="I62" i="1"/>
  <c r="I63" i="1"/>
  <c r="I64" i="1"/>
  <c r="I65" i="1"/>
  <c r="I66" i="1"/>
  <c r="I67" i="1"/>
  <c r="I68" i="1"/>
  <c r="I70" i="1"/>
  <c r="I72" i="1"/>
  <c r="I73" i="1"/>
  <c r="I336" i="1"/>
  <c r="I45" i="1"/>
  <c r="I69" i="1"/>
  <c r="I76" i="1"/>
  <c r="I337" i="1"/>
  <c r="I57" i="1"/>
  <c r="I338" i="1"/>
  <c r="I77" i="1"/>
  <c r="I75" i="1"/>
  <c r="I80" i="1"/>
  <c r="I81" i="1"/>
  <c r="I82" i="1"/>
  <c r="I83" i="1"/>
  <c r="I84" i="1"/>
  <c r="I85" i="1"/>
  <c r="I86" i="1"/>
  <c r="I87" i="1"/>
  <c r="I88" i="1"/>
  <c r="I89" i="1"/>
  <c r="I90" i="1"/>
  <c r="I91" i="1"/>
  <c r="I95" i="1"/>
  <c r="I99" i="1"/>
  <c r="I100" i="1"/>
  <c r="I93" i="1"/>
  <c r="I92" i="1"/>
  <c r="I102" i="1"/>
  <c r="I101" i="1"/>
  <c r="I105" i="1"/>
  <c r="I103" i="1"/>
  <c r="I97" i="1"/>
  <c r="I96" i="1"/>
  <c r="I104" i="1"/>
  <c r="I106" i="1"/>
  <c r="I107" i="1"/>
  <c r="I108" i="1"/>
  <c r="I109" i="1"/>
  <c r="I110" i="1"/>
  <c r="I111" i="1"/>
  <c r="I114" i="1"/>
  <c r="I115" i="1"/>
  <c r="I116" i="1"/>
  <c r="I117" i="1"/>
  <c r="I118" i="1"/>
  <c r="I119" i="1"/>
  <c r="I120" i="1"/>
  <c r="I121" i="1"/>
  <c r="I122" i="1"/>
  <c r="I123" i="1"/>
  <c r="I124" i="1"/>
  <c r="I127" i="1"/>
  <c r="I129" i="1"/>
  <c r="I131" i="1"/>
  <c r="I130" i="1"/>
  <c r="I126" i="1"/>
  <c r="I112" i="1"/>
  <c r="I2" i="1"/>
  <c r="I30" i="1"/>
  <c r="I71" i="1"/>
  <c r="I94" i="1"/>
  <c r="I128" i="1"/>
  <c r="I125" i="1"/>
  <c r="I339" i="1"/>
  <c r="I340" i="1"/>
  <c r="I136" i="1"/>
  <c r="I135" i="1"/>
  <c r="I341" i="1"/>
  <c r="I137" i="1"/>
  <c r="I342" i="1"/>
  <c r="I138" i="1"/>
  <c r="I134" i="1"/>
  <c r="I24" i="1"/>
  <c r="I52" i="1"/>
  <c r="I26" i="1"/>
  <c r="I42" i="1"/>
  <c r="I74" i="1"/>
  <c r="I78" i="1"/>
  <c r="I79" i="1"/>
  <c r="I139" i="1"/>
  <c r="I140" i="1"/>
  <c r="I141" i="1"/>
  <c r="I144" i="1"/>
  <c r="I325" i="1"/>
  <c r="I145" i="1"/>
  <c r="I146" i="1"/>
  <c r="I147" i="1"/>
  <c r="I148" i="1"/>
  <c r="I149" i="1"/>
  <c r="I150" i="1"/>
  <c r="I151" i="1"/>
  <c r="I152" i="1"/>
  <c r="I153" i="1"/>
  <c r="I154" i="1"/>
  <c r="I155" i="1"/>
  <c r="I158" i="1"/>
  <c r="I159" i="1"/>
  <c r="I160" i="1"/>
  <c r="I161" i="1"/>
  <c r="I157" i="1"/>
  <c r="I162" i="1"/>
  <c r="I164" i="1"/>
  <c r="I165" i="1"/>
  <c r="I166" i="1"/>
  <c r="I167" i="1"/>
  <c r="I168" i="1"/>
  <c r="I169" i="1"/>
  <c r="I170" i="1"/>
  <c r="I171" i="1"/>
  <c r="I142" i="1"/>
  <c r="I163" i="1"/>
  <c r="I172" i="1"/>
  <c r="I326" i="1"/>
  <c r="I173" i="1"/>
  <c r="I175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1" i="1"/>
  <c r="I192" i="1"/>
  <c r="I193" i="1"/>
  <c r="I194" i="1"/>
  <c r="I156" i="1"/>
  <c r="I133" i="1"/>
  <c r="I132" i="1"/>
  <c r="I8" i="1"/>
  <c r="I198" i="1"/>
  <c r="I197" i="1"/>
  <c r="I199" i="1"/>
  <c r="I200" i="1"/>
  <c r="I11" i="1"/>
  <c r="I13" i="1"/>
  <c r="I15" i="1"/>
  <c r="I17" i="1"/>
  <c r="I25" i="1"/>
  <c r="I27" i="1"/>
  <c r="I202" i="1"/>
  <c r="I190" i="1"/>
  <c r="I203" i="1"/>
  <c r="I206" i="1"/>
  <c r="I207" i="1"/>
  <c r="I209" i="1"/>
  <c r="I210" i="1"/>
  <c r="I211" i="1"/>
  <c r="I212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8" i="1"/>
  <c r="I229" i="1"/>
  <c r="I230" i="1"/>
  <c r="I234" i="1"/>
  <c r="I227" i="1"/>
  <c r="I233" i="1"/>
  <c r="I232" i="1"/>
  <c r="I231" i="1"/>
  <c r="I327" i="1"/>
  <c r="I235" i="1"/>
  <c r="I236" i="1"/>
  <c r="I237" i="1"/>
  <c r="I238" i="1"/>
  <c r="I242" i="1"/>
  <c r="I328" i="1"/>
  <c r="I243" i="1"/>
  <c r="I244" i="1"/>
  <c r="I245" i="1"/>
  <c r="I329" i="1"/>
  <c r="I246" i="1"/>
  <c r="I330" i="1"/>
  <c r="I247" i="1"/>
  <c r="I248" i="1"/>
  <c r="I249" i="1"/>
  <c r="I250" i="1"/>
  <c r="I251" i="1"/>
  <c r="I252" i="1"/>
  <c r="I253" i="1"/>
  <c r="I255" i="1"/>
  <c r="I258" i="1"/>
  <c r="I259" i="1"/>
  <c r="I260" i="1"/>
  <c r="I261" i="1"/>
  <c r="I262" i="1"/>
  <c r="I266" i="1"/>
  <c r="I267" i="1"/>
  <c r="I268" i="1"/>
  <c r="I269" i="1"/>
  <c r="I208" i="1"/>
  <c r="I331" i="1"/>
  <c r="I270" i="1"/>
  <c r="I271" i="1"/>
  <c r="I273" i="1"/>
  <c r="I274" i="1"/>
  <c r="I276" i="1"/>
  <c r="I277" i="1"/>
  <c r="I278" i="1"/>
  <c r="I279" i="1"/>
  <c r="I280" i="1"/>
  <c r="I272" i="1"/>
  <c r="I282" i="1"/>
  <c r="I256" i="1"/>
  <c r="I254" i="1"/>
  <c r="I275" i="1"/>
  <c r="I332" i="1"/>
  <c r="I265" i="1"/>
  <c r="I239" i="1"/>
  <c r="I263" i="1"/>
  <c r="I264" i="1"/>
  <c r="I240" i="1"/>
  <c r="I241" i="1"/>
  <c r="I283" i="1"/>
  <c r="I333" i="1"/>
  <c r="I284" i="1"/>
  <c r="I285" i="1"/>
  <c r="I286" i="1"/>
  <c r="I287" i="1"/>
  <c r="I288" i="1"/>
  <c r="I98" i="1"/>
  <c r="I174" i="1"/>
  <c r="I176" i="1"/>
  <c r="I204" i="1"/>
  <c r="I213" i="1"/>
  <c r="I53" i="1"/>
  <c r="I113" i="1"/>
  <c r="I143" i="1"/>
  <c r="I289" i="1"/>
  <c r="I334" i="1"/>
  <c r="I290" i="1"/>
  <c r="I291" i="1"/>
  <c r="I292" i="1"/>
  <c r="I293" i="1"/>
  <c r="I294" i="1"/>
  <c r="I295" i="1"/>
  <c r="I296" i="1"/>
  <c r="I297" i="1"/>
  <c r="I299" i="1"/>
  <c r="I301" i="1"/>
  <c r="I302" i="1"/>
  <c r="I303" i="1"/>
  <c r="I300" i="1"/>
  <c r="I298" i="1"/>
  <c r="I304" i="1"/>
  <c r="I305" i="1"/>
  <c r="I306" i="1"/>
  <c r="I307" i="1"/>
  <c r="I308" i="1"/>
  <c r="I309" i="1"/>
  <c r="I310" i="1"/>
  <c r="I311" i="1"/>
  <c r="I257" i="1"/>
  <c r="I281" i="1"/>
  <c r="I205" i="1"/>
  <c r="I201" i="1"/>
  <c r="I196" i="1"/>
  <c r="I195" i="1"/>
  <c r="I312" i="1"/>
  <c r="I313" i="1"/>
  <c r="I314" i="1"/>
  <c r="I315" i="1"/>
  <c r="I317" i="1"/>
  <c r="I318" i="1"/>
  <c r="I319" i="1"/>
  <c r="I320" i="1"/>
  <c r="I321" i="1"/>
  <c r="I322" i="1"/>
  <c r="I323" i="1"/>
  <c r="I316" i="1"/>
  <c r="I343" i="1" l="1"/>
</calcChain>
</file>

<file path=xl/sharedStrings.xml><?xml version="1.0" encoding="utf-8"?>
<sst xmlns="http://schemas.openxmlformats.org/spreadsheetml/2006/main" count="3805" uniqueCount="1102">
  <si>
    <t>TIPO</t>
  </si>
  <si>
    <t>CUFE/CUDE</t>
  </si>
  <si>
    <t>Folio</t>
  </si>
  <si>
    <t>Fecha Emisión</t>
  </si>
  <si>
    <t>NIT Emisor</t>
  </si>
  <si>
    <t>Nombre Emisor</t>
  </si>
  <si>
    <t>NIT Receptor</t>
  </si>
  <si>
    <t>Nombre Receptor</t>
  </si>
  <si>
    <t>SUBTOTAL</t>
  </si>
  <si>
    <t>IVA</t>
  </si>
  <si>
    <t>IC</t>
  </si>
  <si>
    <t>INC</t>
  </si>
  <si>
    <t>INC Bolsas</t>
  </si>
  <si>
    <t>Total</t>
  </si>
  <si>
    <t>Factura electrónica</t>
  </si>
  <si>
    <t>b39ca8f1cc31a5afff6e96134f8b3ca01122f2c20fc4115c374df5c00b0119b00b82c9c4ab94af08e46f9a5592721db6</t>
  </si>
  <si>
    <t>TECNOTICS SAS</t>
  </si>
  <si>
    <t>LUSEO COLOMBIA S.A.S</t>
  </si>
  <si>
    <t>2c08dbc901779beeb0abac73c0a4e2072e210913f2b5c518de54c76ed9ea90e3d1dd1d06e61d04a853b3b60ef343b9f4</t>
  </si>
  <si>
    <t>FUMIAGRO S.A.S.</t>
  </si>
  <si>
    <t>88f07b8834ddb694b2a79c12e2d02082caad09932b233730f6d97ec405f6703a3bea99203963f6856aa313816a4d5228</t>
  </si>
  <si>
    <t>CONGREGACION SANTO DOMINGO</t>
  </si>
  <si>
    <t>45d405014138d78ac70bd0ce7fbe98854c25512dbe83c401157fc3f56e4e9a00d44b6cfa0151febed662c0a2268b8c51</t>
  </si>
  <si>
    <t>TRANS CONCORD TRAVEL S.A.S</t>
  </si>
  <si>
    <t>0c91f73c6d8f6ee06fbac08e651c2750cf1a6595844b1d7c23ccd6543b022afb017d0c7c5848bc1fb252bbfcc1a3b55d</t>
  </si>
  <si>
    <t>TRANSPORTES JERICO, PUEBLORICO, TARSO S.A.S.</t>
  </si>
  <si>
    <t>ecc97bb55f4022ba5c958fa4f912faa98878b8dc9d632715eda550e747d3f65c9dac37ffc7cc9c0f1a01df9df1d5abdd</t>
  </si>
  <si>
    <t>1668af3aa894352c3b8db32bc3df17def5791319df6fae20bc09d7a08af0b3c9d6733d29a912c93d1f9a130a318e2259</t>
  </si>
  <si>
    <t>483000d4ef430aa1c2818ad9608f16dbf0142062d6a281bfd4f54f2617c5216e1a3dbf951ffaf0d1275c4b418fa1da3c</t>
  </si>
  <si>
    <t>TECNIQUIMICASA</t>
  </si>
  <si>
    <t>a9e636a20e86c69c823229e1b89b7143c00de70ca78fa3ad7edd9c99aad5db22988ffd9aebedf66b679c046918ec8fe3</t>
  </si>
  <si>
    <t>MACROLAB ZONA FRANCA S.A.S.</t>
  </si>
  <si>
    <t>f46523e26b862d0eba3f8046a5751936cdb7b90791990623acc132be71a6396f90d5d775cb952f0e12d9ebb7e88715a8</t>
  </si>
  <si>
    <t>TERMINAL DEL SUR DE MEDELLIN PH</t>
  </si>
  <si>
    <t>3371bb129199fd3e596ed81c6eff0ec1098e378968b3d2b1d154521b411be30de818d6fd28710daf240931fcc242ddd7</t>
  </si>
  <si>
    <t>6bbfa15140b8483e7b5433bbdf3c5eaacd4ca3bd4b06a5042b8eda6f9b495736d6b17899c1d5469a193c539a57c4ceee</t>
  </si>
  <si>
    <t>HEMOGROUP S.A.S</t>
  </si>
  <si>
    <t>4c08448edfd72b3d10dea53b5153fdfe623772b5ceed0d594cab08dd8f75dda0331fffbd31c6c27fb999c1251c56ef8a</t>
  </si>
  <si>
    <t>NUESTRA HOUSE SAS</t>
  </si>
  <si>
    <t>a444123ad8e7643b3bd9b9b7295c71245256104230cd23443394c48a33b7cf24e5ed2614b55a4e7ca5aa4874ad371b6f</t>
  </si>
  <si>
    <t>a4f20f06afa011f22700650dd9bb643f3ad8f468ef1d22350c9e23bdf6355660e2fa0c58486e45609e0e1dd958aec22e</t>
  </si>
  <si>
    <t>132348ae168fa453c4370f9ce8354a625bfb718785e0bd5125aaef26ff66b94a54e1c85668a2479494f198f974fb4973</t>
  </si>
  <si>
    <t>7724100fa7a2708e18030da879004ffcee484dfbd0e3d75b33ecc57a71587ed91b9da7c6e7f7c1ecae16adbf6fcb188e</t>
  </si>
  <si>
    <t>519407c50de799bc60586cd374d63a08ac422b65d9ed370250f951c1cb50fe8457f59740d7eaeeae8c57bdd487cc9d72</t>
  </si>
  <si>
    <t>3abf891a0b31837544e26ffb2cec0d157393c4c8c0f66f257a668e818881eff91775e2e97d1099426ecb5a2aca164039</t>
  </si>
  <si>
    <t>5b06042205f8519013377be1e0211be6592eb29caeba3e643e0872d143f6bee80c6e29e94fb3fcb2b485b612f4cc5ba5</t>
  </si>
  <si>
    <t>c33ff844ac4ef4fd4567b6e4e958023ff9c4d45bf119d8842a4cd83633aa6ed5410acbe693dbbafc38af583b40c95074</t>
  </si>
  <si>
    <t>CONSTRUREDES GRUPO GOMEZ</t>
  </si>
  <si>
    <t>44430a5644eb6f711dc5be602eac4f49a9a01c5cbfce835aabd0027f8c1bb5a226715b23b77c2132e3edf1eeca997738</t>
  </si>
  <si>
    <t>1263054b726c18cf839e84013d0cee7d0da6f1e0133a26ee132e735004d123f8c30b2eadabd8513abff26d03000bb21d</t>
  </si>
  <si>
    <t>be482e03d56716388033d53852093e98904a30cff279c46c7f2e7595775fc4e45c42d2e7163b3da426ec1ecb99f3234d</t>
  </si>
  <si>
    <t>bc3069dee9eaf4705bec44792ed1011b77bee5e9ae1046aaf96a78e4a0141cfa162e31ac3180c308b53869c70d5d747c</t>
  </si>
  <si>
    <t>PANACAMBIOS Y CIA LTDA</t>
  </si>
  <si>
    <t>cf165e7642fadf4298e5d47247cda00df9bf1ab84e54edcd797441f2ac2584386588f9f35537c0d324c40c31caea2712</t>
  </si>
  <si>
    <t>INGENIERIA HOSPITALARIA S.A.S</t>
  </si>
  <si>
    <t>540fdf9a6f71da3fd174dbdb6386cc26daa8614faa5814327298798a0961f1b9356b994dffc519ea34941acc7d28df1b</t>
  </si>
  <si>
    <t>8d39f642ca2328bbca67742d597eaa7187745cc6f0cbccee41cf4d73120dec8e1e2189d0cc8bcaec939135f88ea2d577</t>
  </si>
  <si>
    <t>6fa9ab165c0a2202f45a255dc0e0fac78e044c94ad5d04333f9da4840ebe832f3f38eb7fdb5bc323f84dfe0bf01defd5</t>
  </si>
  <si>
    <t>TIERRAFRIA ARQUITECTURA S.A.S</t>
  </si>
  <si>
    <t>8df1de75721bc683d7afcfc5266dc11720cdce960fb905e6bdffb0e5d03b1cd7a90926da5d0a5084544134adf0df3140</t>
  </si>
  <si>
    <t>INATHA S.A.S.</t>
  </si>
  <si>
    <t>c3b91ba34297489207d4e0f755cbc721b79cd49e0ecb4f334ec57b1088bf13825574bd779f0381e251bf5d392b152196</t>
  </si>
  <si>
    <t>SIMA TECH SAS</t>
  </si>
  <si>
    <t>f1b1316d7252ae265e2d85b8f86ba045213a64b84fceb98809e4246345369a219290c9811d4750dce094fe7c5a3c8541</t>
  </si>
  <si>
    <t>f1d63f98910f61b43a047c3286a4c03b3f304c5ed251407ce3ae8c31fecb2dfec5bb05b2ec2f510bf5c108198cecfcae</t>
  </si>
  <si>
    <t>I.E El Rosario de Bello</t>
  </si>
  <si>
    <t>fa160d5925d676429c80a7611811e60e2b41aab70038a49d920d49c58710d1d2abff956471530f19a339a02571c20337</t>
  </si>
  <si>
    <t>MAGNISEGUROS ASESORES EN SEGUROS  LIMITADA</t>
  </si>
  <si>
    <t>6ab86e126a1293fad255f47e8857d63625bb055f984825404dcc9b4f2724f50715b7b4ffaf1cf4777454e77dd4d3b44b</t>
  </si>
  <si>
    <t>24 H SERVICES S.A.S</t>
  </si>
  <si>
    <t>c3d38b6a5530c6423024e8d1289db6fafc3019f4dd81bddfee2f116c43a6e7b0eaa41259da8c7194504ee05743a15ae5</t>
  </si>
  <si>
    <t>d20e93dc6655e615f78e92d9a7874ccf047a8ef27f8ddc5dbaf9ea37fe16c1f8b893ac3d533564291b0c7dda0b70d2ab</t>
  </si>
  <si>
    <t>ELECTROMANTENIMIENTO A.C S.A.S</t>
  </si>
  <si>
    <t>232eacc763b619ae35a715935ed880f2a3a16f8b426f23291c30ad384a083616d3500ae735cdf856dbbbf253265274d2</t>
  </si>
  <si>
    <t>0c14b352f9e4d9e4092ac59a45e4259b67d078dd98b203d9b1882047f8a4f23cdd5c71f595c8ebd9fbf3f44fe7255d7e</t>
  </si>
  <si>
    <t>5b1fed951c463a2c434164fd36e62e29cd02b03a522dd2cef6f2948038a071e9c082b26ce0708e9d71ac3b4ddcb34449</t>
  </si>
  <si>
    <t>DALIAS GROUP S.A.S.</t>
  </si>
  <si>
    <t>Nota de crédito electrónica</t>
  </si>
  <si>
    <t>6a7423df234b0703d5e63b72a4dd47fe99b6bb07c3cbfe6322ac267ccfb9add3591c8a7ec804a123d3f0b07a37ff5263</t>
  </si>
  <si>
    <t>NC219</t>
  </si>
  <si>
    <t>LIFEHEALTH UNIVERSAL EXPORT SAS</t>
  </si>
  <si>
    <t>3c4f9d16b74d0a0d46e9e00d8498e487b78273684a7f84387c6d312981cec92f5c30cb97683af134ddd684c1c31dbc72</t>
  </si>
  <si>
    <t>02166819df043d31a7bc9500fa90a10aed27f30ceab02061cb92f510b0ed611f3b94d680c13568c0ea9972d27c8b9541</t>
  </si>
  <si>
    <t>aa4b309f73d41447a57fa4a752a2afc799027b2e93427388599cf3ced485902bd94894592d7545aa1494f6b69bb6b321</t>
  </si>
  <si>
    <t>d9bb3d5803d01a1fae13bee96f025721895d96fe2c55b4ea1993893339599a244ad97cd090e96086eadcf98e596ea0eb</t>
  </si>
  <si>
    <t>57794dee273bd8d024d043ee5ea5acdd9254087b326169dbc3ab5a0b359be099b829a5056110faccf73b1947d3abffd6</t>
  </si>
  <si>
    <t>c4093f757a81a83dd62c878a18b79c1eba1a140c24c80a79e383e8b9640478d7a03963b21cbb01e2aa673078bb6e0ecf</t>
  </si>
  <si>
    <t>f55d89626c8769db9d8d5eb0f37dca318ab29e431dc97342b054602438bdd256eb193b1ab807cdf6d286e231bfc65851</t>
  </si>
  <si>
    <t>58997e93f34251a8c63aa24eeccb283b6d3fc9629451f013167afe8cc11302483eb994bacbef88b06016770e346337a1</t>
  </si>
  <si>
    <t>83e7db22f099ec45c85de1171b687b30d3c7563b44d6cf811b9521d090d2d2526ec7994f7585b870b7b66ecc37676322</t>
  </si>
  <si>
    <t>GIGA ELECTROINGENIERIA SAS</t>
  </si>
  <si>
    <t>169be7789e41f00d8391c203f0bde517c7ac39a0a4e0ac39106863ac996e61573c206d28b96cd3444c74673ed4159f13</t>
  </si>
  <si>
    <t>ee193895e0f13be434210665b5131216a378e70a36bc4547f3b2d4db2ed5d4f1e284eebf2f8ef58416636b698131ae24</t>
  </si>
  <si>
    <t>dfdbdcdafb5022f143f9a466babbe10fb15f4b3cf9feda683a850528d9de7139791e1e472aecf7bd7eff771d5cc71ddf</t>
  </si>
  <si>
    <t>2ec0e487b481861633c1062001adb599dbd82073076e3d83050361c67f09499b501d4c69e56460a7e89a3713d1e554b7</t>
  </si>
  <si>
    <t>CENTRO COMERCIAL VILLANUEVA P.H.</t>
  </si>
  <si>
    <t>c397279950ffa7175f1bf79010196fe9aaded6044e7b4b1fb7548184dde3b5051d94035cb3f90e985069123733bf73ca</t>
  </si>
  <si>
    <t>7a8ffb4f608d05c82cae350daf681dd91a0c4ba0391349c142ee01efc2e7c24cfa65a024acfa6fb48fae3450fa7920b8</t>
  </si>
  <si>
    <t>NC218</t>
  </si>
  <si>
    <t>5b7d7774a135edde929eb901c69ab6492f114ea61b89a82ad4924e04f2a21f66e7c50b15f2426ff9d481b0e1e45bb27a</t>
  </si>
  <si>
    <t>c7e2cde5b4a4b983ac28a2d4c98bf43b5b2e80295aee64475bbcf8aa4e2fa7d92b49382e39fb67fe2bb9ca1f3a02e9d4</t>
  </si>
  <si>
    <t>502ddea131b6971fd8f2084ef9e5e7d89c51f782752ec2978e0792701aced2b6e8c70b449334bb7aae8159b4aacd5579</t>
  </si>
  <si>
    <t>0c70db477e4ede7c3915263b7981094fa1a0efa2166ccba3aaa4a9ed9cb00985594a7acec0283258753e89a9cd91da71</t>
  </si>
  <si>
    <t>92931473cc6f6f77640411a83dc9d91d619ba43599111a2db15f88995c44756a869434f75752dc6ea9f92ce2f2f37706</t>
  </si>
  <si>
    <t>42af231cebb3dfb412a809338cdd1da826e932d0c8180b484becba4e84003bc29ec7bb01abada4e3939a41257d515e03</t>
  </si>
  <si>
    <t>399192eeda176d04a02dbcbeb0c4e71edf33ace54ef5de56d69947bb7544a349ff3724a0c6dc240a306a892e8cae93a6</t>
  </si>
  <si>
    <t>e76db0627546ce847a644d55c9cdb1dc026a6910a97ba9c741ccb63128a906991a853bb874ed350c2982b9295874ed8c</t>
  </si>
  <si>
    <t>NC217</t>
  </si>
  <si>
    <t>ada34b1b806530afe32a3d0114f8520b6cc4174e78b936d57f7cb999b0362db8cb6a5627a894a266a11b2cd8457b067f</t>
  </si>
  <si>
    <t>b93acc71f4e0cfc128595bce599d9c5d3ac787a90ab85622fc91f213075b53886419a8cbf19c061a9c6c29cc9976a844</t>
  </si>
  <si>
    <t>VIBART DENTAL CLINIC</t>
  </si>
  <si>
    <t>85e19c5769c29a8da3e415f71d54a58b17705714aaba74a50e02c45ffbae8404dd1e43b9f5c08eb8fb2a495a3e368d36</t>
  </si>
  <si>
    <t>ad762ee67f712afc8e4a750fd5124b70a5af70ecb4596531473e0de890c15aaf1a9387a1c307d4b55e9b146d3b656e53</t>
  </si>
  <si>
    <t>6874a11780db05664e0d2d9ac25057d74ae42a81609f25e29dd93d7579e4a53541c27ba430960a0c0060368e583cce81</t>
  </si>
  <si>
    <t>721dc2211810458a22c34920e256425eb31fa5de183b10aebed30aeab9d54354601164bf39f38a7b5e9bbb1515fd48a0</t>
  </si>
  <si>
    <t>320500ca6d4d43f8f4007819f0b2aa8db9d97052ff713fa658dfe3fd0cb56346822ee97ec92069725444c4f1c675dbb7</t>
  </si>
  <si>
    <t>d911ac9a65b9e41593329204b3736fd9cd9b8fa8176422a2598be7dca681206c1517bbeb6c10e5468231b1c433267c4b</t>
  </si>
  <si>
    <t>vista norte sas</t>
  </si>
  <si>
    <t>cbbef2dee0bb6cb7a1ac85691c25b3833a27b4adc2b417af4a1785b3e70813fb5c045a6ae436839e81206f725a5af6dd</t>
  </si>
  <si>
    <t>076f8044986fcd68d74eddc8620a417052263edf5b5c1577ae8987c2426bd996923d51e62dc45c4e5795cb76743654c5</t>
  </si>
  <si>
    <t>9bcbf1c68c3b941fe879b73e6b1f979acf8cd1ebdfffe84a9f570f0af423dfb97aebe2b6826fbfea2c5cb1d54c48e4ef</t>
  </si>
  <si>
    <t>3883b3eca7b677e7c52807ee042e57f017c0aec7120b123456eb8d6aeeebc5a3c0e22e2ec970844eb09fadc8c16d3938</t>
  </si>
  <si>
    <t>19a50ff0fd8f25d339a0ca14e4c394fcdf283373566c4d6d232c3e8cbe15ede39f18ed4f1b970c01f9c11d1a67127767</t>
  </si>
  <si>
    <t>1744d4a6c319bcf8303c357949461765577a18c6bfbb73ae9addf35af42915878714ab75614804db6c38942395d5b696</t>
  </si>
  <si>
    <t>41163a4559d4a60e00d26ac513fc6677f289985fa77066283f2dadebeb10f761a22eeb52109512547243e4d19ea05a3c</t>
  </si>
  <si>
    <t>NC216</t>
  </si>
  <si>
    <t>INNOVACIÓN ESTRATÉGICA - INNOVATE S.A.S.</t>
  </si>
  <si>
    <t>0490df7d4128617b051e9d49e312d265a3f55c9105ce49ba7afa91fa4ea4b1587e7784cf0fc0e77a13fd3a9dc1b789a9</t>
  </si>
  <si>
    <t>b0fc0eb049d72d8ef68423522eab48d79d5c950c54b9d9dfc859dd074d958f84551c52a3df2ef8d26ced5bb699fa9e3e</t>
  </si>
  <si>
    <t>6dad99d1eec92906fe0133ee53f2a3acd2e239eba8c449109ffc39dd34dca9d05c1f49d70c2fbf1d341adceaaf23f94e</t>
  </si>
  <si>
    <t>7f9b97cec71950816fece06c08adf47cff008de9d591670990850d12b8f7e71de79ccf03389b6ce3b8c71d4210e750ec</t>
  </si>
  <si>
    <t>7ac5f28bcfb89ea0ad6f7baf6a1af966089d74cca1fb48a3d01d53e403567dd56607b695f5a77b79eb9fd413639d9b6e</t>
  </si>
  <si>
    <t>f9575e472e9864f95ce0324bdeda2d991116b16e4a87167071ed910ac39a9aa1a02e9bee2eb312a5d73e59085ebe53c0</t>
  </si>
  <si>
    <t>51e668b8b654cb5082994682cdaec0d0c60eb45a169f0e23912076c219c63a07cd44954081bee9777e8572345bea2157</t>
  </si>
  <si>
    <t>08b79026786bcdcb5aa0dfaa662d89b32be603aa59984cdb246f17273b2a7aad1ae295e7564f759ba0a6f0a85f612f4a</t>
  </si>
  <si>
    <t>2ed6f082a565cf9335a8dae642880d08974b1aca0fd213781432c31764d546ba19fb2c90c17f0a6939daeb2e21e5c08e</t>
  </si>
  <si>
    <t>e9c3c8fbe2003f10bee9a0530cb9d25ee942b5f95f68dfbcc0c920f3ef0dd77619968330ceafe8a324700e731fbfb3b1</t>
  </si>
  <si>
    <t>f83fc29c0e726f415ee2db592356fa8844262c014ccc155c7d2e3ecabba86a4a50970ba5121421d31924a42bc1737454</t>
  </si>
  <si>
    <t>IDINNOV S.A.S.</t>
  </si>
  <si>
    <t>622b25b77c875d3a78a7bcd284f2151691ac7a748ec0063affbdfb4865ae477bfa96ae45e8867cf0c1ec22be281f7662</t>
  </si>
  <si>
    <t>cf2d746f9a7b5df87b2d6b8a92d6771cf30dd85fc305f91cade3256702f5012c3bda073dd134b116aad0856c3922baa9</t>
  </si>
  <si>
    <t>4e3d2ae04feb7605333ce7c5cd969f62b77be91b510e1d705390cff1f6f13743f03dbd0f5bf4e1ef4692fb4e158ab7b7</t>
  </si>
  <si>
    <t>48561298affa6728b97870e9c644db328b14389d04650e609ff96793b4558f52eb2b8132232492efa661299facb984a0</t>
  </si>
  <si>
    <t>Mas 3 Inmobiliaria SAS</t>
  </si>
  <si>
    <t>06d10e745655a54ca0900dc180a2d7e0a3c76960d06889477d8ae2ef06608dd4eab531598e4a9f471fd938d560171c40</t>
  </si>
  <si>
    <t>COMERCIALIZADORA INTERNACIONAL EXUN S.A.S</t>
  </si>
  <si>
    <t>5e59e0938dfc05600158d7c959b90aee6e7ec210be4d36c743d11a422572f8248e2409b0389bdb11dd971163fe6ef9a3</t>
  </si>
  <si>
    <t>ebe1f18c8fe0032dbc9ca8f90f085a9f8fdc6da0b17c4fb126cd46b00b9e4012f11497048091c68bcf5377583a252b9c</t>
  </si>
  <si>
    <t>0c4b839113e765fb7442cc03cd44630c5a0530e33769ef14f0e49190e659f9e28e5ee911e8606d51c6df0c9e26b0dee1</t>
  </si>
  <si>
    <t>NC215</t>
  </si>
  <si>
    <t>8536188c419b2571884262dc32fd42b9867ab369afdedc2f8c765af37a9f213ba4faa694e3ffdd4843db73f1b53c505d</t>
  </si>
  <si>
    <t>6a61e930a99d229bd24221bcccc26aa60aaa6b11fae51798eab72cab1f1bdd60e407afa8b8eff92f44208563d429c6e1</t>
  </si>
  <si>
    <t>NC214</t>
  </si>
  <si>
    <t>c4f944db0248da2a69cbd3815acfc6869a1290ff774573cbf48af79bd12664ecf6622fcf693a241168ffc4da58b220b4</t>
  </si>
  <si>
    <t>731e81fa65118b63911151235fbaa68e13ef94b95bc944ebd4ecb9bd68fa6ba3d55eaf2ea0b6fa41099d8f1e62a79cc0</t>
  </si>
  <si>
    <t>491977dba7ba7e8243d0de14f32a61518bd7edfd8276458fba3f0bbe41fcc36887a7bc9c3d2166f9a463ca7b5cc12308</t>
  </si>
  <si>
    <t>9793693d019c9ab9cd1a27c53aab9e03fb42c6bb80606edb80108c87b41f1003e6526318c986ead641ec025d371157bf</t>
  </si>
  <si>
    <t>NC213</t>
  </si>
  <si>
    <t>0a05520fa39bc30857f863ed63c365726b9d07ccd78fe521a1f017e7d808fd4ffa82a15fc449b8b24d5984a75a16f3c6</t>
  </si>
  <si>
    <t>6e5f1375d06c2cde81c24cba48e32f575b2b00643848db2b5137b30be0e52ab0b69d5567d664af0cc6e7e320be02e8cc</t>
  </si>
  <si>
    <t>9f50ee97528a3fb159c30ffe899be806d6eda4f713468fc0545a8acabc973b03350ada2d3525e488be14e18d79cb5759</t>
  </si>
  <si>
    <t>bf9ed3ab7e4248dade395f0ba53184ea53d48a5484265d40850e0e1caee44ae62c5744a5fe6661686f90da2ad10d3537</t>
  </si>
  <si>
    <t>TRANSPORTE ESPECIAL RUTA 07 S.A.S.</t>
  </si>
  <si>
    <t>a9947c4271826097d5f0ca976edb8d22c8f866622aaf8d904cfe946f7b352b7e8311e59afeab53bd4df0dd4cde30f76c</t>
  </si>
  <si>
    <t>57e129a39630a44ae62e80b65aa7e982213cea72279af70ed534997ebedc618d33d7a7d2697cfec1edd19bc53797d98a</t>
  </si>
  <si>
    <t>NC212</t>
  </si>
  <si>
    <t>83704fe070fd235d4120bac11d1c040bd14769f957eb7cc551a49fae73e570ebb676de2690c7911ffa69d48022b66fb5</t>
  </si>
  <si>
    <t>fb56703cac664d09e9bbed7f5cb936874fde94a97d7557b09337fa18c31340c33b9253d9dcd1deb39346b87804b6d0db</t>
  </si>
  <si>
    <t>3f81dd4e6798d2f5f3aa005bbaa1cb8773c1c79cb5dcd756485148299cb2952ea8613c6a0bf392a5ee61f1790463b462</t>
  </si>
  <si>
    <t>304e8d87e685d78b177c19ab58a28cb93a2134d450f658637bdaefb5230ba7e61e00d0527b34560716f677680eaf16d6</t>
  </si>
  <si>
    <t>03fdea5e28ba5c35993353d9bccdf611c252eae5a223fcf10cf5542ac58c4cefcf55c666efa1c5e9be854f5712d8c254</t>
  </si>
  <si>
    <t>74aa06617c6bd5670b9400b495ae29c708895de57967a9f5d033f26aba5d617932ba6520a29733c36693a9b8f260a1ab</t>
  </si>
  <si>
    <t>8b5742fd004928dc58f6052f7b7d6955ae288fdc474708f514721fef77de5a2346f2ba6e1a2b9466066efc4196ecccd6</t>
  </si>
  <si>
    <t>8ec1e16592c842135a3cccb2c3639247269dae0c186828d0858176334a80398b229c44de5cf7c1936fcea66bcfd7cf93</t>
  </si>
  <si>
    <t>f1611df85f9ed92a0e2d0933ac5d8e8767a02567e74846cb2b27f1833a2c254de0f6714be4bd75a01d050ba79aa372ff</t>
  </si>
  <si>
    <t>1d2a4d40bd9833cbb810d431a4600e60fcc95b1d6a0451d1fb96c5029bc49d94b5aaf2485747a46cc2e44ae80859a3b3</t>
  </si>
  <si>
    <t>f4114bdec4356ccb44d4fbdcb793de2f34fe38786c664602b6fc267e5696814748827ee27b8338ff2127ba1b038e6e66</t>
  </si>
  <si>
    <t>993199cee1d3fc5668a2b92862560512b37ef3d5981b65b7c8d77619b9e812257b313a7156743e52490d3847d386d3e3</t>
  </si>
  <si>
    <t>4018717175ac590d4cb0fa9080070a7f22483ab7d583c45b77037de0d2c32169e137bba3af9a1edb590dbf4b4e0ad0a6</t>
  </si>
  <si>
    <t>cabba62ab7a1470ef4f6364fa8d5ec1ddc10ecc470a594673e3ffc9ea44275704cca726583a610164f2867f104fdebee</t>
  </si>
  <si>
    <t>aee39e04522579765c0caf23c42d2c1a1b12defd612383c32712f91ad8c003020fff54ab04c0ddab26a046e5904a78fa</t>
  </si>
  <si>
    <t>fe248aae7f72813c4a90e69d94da04e13221a58b44d413082b3b410a8573ad9175cc568d0faf13530aeaddf0b20052e0</t>
  </si>
  <si>
    <t>735292e36499e63362cba495567a9650e5a5216c019af38870a51f72b6043b133a5e5db41bdffb9879615581badc810d</t>
  </si>
  <si>
    <t>daf0b9aa384a5522738e4fcf143a6a4f301ba8f4c06ed418caa838399d65eab976f31e2bc0cb8bfe9ce69969370bd2e9</t>
  </si>
  <si>
    <t>fddc2b3f75b4ed218ba5038b05eb3e6d2399e233e765fe43d3069eebcf1a29f1f5779fa7f92b0072d3c9b52bbeb87cd6</t>
  </si>
  <si>
    <t>efd469b9cfe72b28675631326adcdfab8331b7c3513b26fbe998bf848f417dd1b8fd8ddb576d687a908ead2b8ee89e37</t>
  </si>
  <si>
    <t>23cfbfb3a45c8a21fe916da1db69557d854b3786458e65a4ad79a0f33ebe04c09c65eb6f2cd0b8eb8ca9258c41004c73</t>
  </si>
  <si>
    <t>fb27ce976f92bb6c3353db55b52a283e7e795d588c4f26ab4d15a71e82f6f152af8f3b3f676efb8ba233d73f20150716</t>
  </si>
  <si>
    <t>82f343ce1f39b9b5efab5f57e171fe16e4f917b90915d833ff8a8df37753aa75898efa50ce39c9945b12c8ce185cfb20</t>
  </si>
  <si>
    <t>a1beabc98cea694b76751904be7bc8d69612dc6d0b8f47b776f9c10de3a00ed88c926dc8e86d568d9648fbe08e7f8f5a</t>
  </si>
  <si>
    <t>0b0d166d1c199846899940da06bb9c267374e15619b5ce3ee8f4077c945c5c5355d9bb2adac40bd39510558b68af1ca5</t>
  </si>
  <si>
    <t>e1fff8dac92fd7d8ff659c01e837768a6910218f2ecb55c96e6305d56603d5945f8822d6188440051e684e408a9339bb</t>
  </si>
  <si>
    <t>a488dc2f5f76e5b2297e9085eab67b7b8440d03cd203c04ce59761d3177ebebf97033c0afa276fbc999eccb4dcbab86f</t>
  </si>
  <si>
    <t>80f9c1aa0acadf867bc707290aff624c5174320922c0f2fc77feae64a3fcb16a559228bc33219f10f9f2fdaf0ffec7a6</t>
  </si>
  <si>
    <t>710922644f311c1a4c5cdf8e328657a09952ab0ce7ce00ab6e466730768bbe69b0210c53e2346034c75eb753553331f8</t>
  </si>
  <si>
    <t>4fa86840dc10b27839609a031bc91ab4f2ac0c89dbdfa442f469d6611fba01eb17ca982866a4abd81cdeeaa9473bcb24</t>
  </si>
  <si>
    <t>GILESA SAS</t>
  </si>
  <si>
    <t>65e54d5dc2a591adc9099b4be0ad1b886aa5711b3c60ef6136740827df6b866d116901fda1809973733b059415dbf735</t>
  </si>
  <si>
    <t>ec09caa03b4320a9055750971b25a6cf071b01754b8130146829deeb8454f85aca3895c9b39d049ef3f622646d67515b</t>
  </si>
  <si>
    <t>Daniel Alejandro Martinez Velez</t>
  </si>
  <si>
    <t>83c0f82b37862e56c10acf319138066d0bc0bef217fcdff661cd625f5f63105fe43d105b4102048a1ce7f4844bef1ebb</t>
  </si>
  <si>
    <t>34766e41cf56b4ab37ab72ff95fd3211cd23ec5bad17379c0f4aa2693d3561eb75c787409be651ca9d321106bce67e68</t>
  </si>
  <si>
    <t>bf90fd36af5a60d3650d9a56d2ac9641fb543f230d2c09e3587f15faec491d844e96d1f419e2256abf3e4f2fe9e933f6</t>
  </si>
  <si>
    <t>fa06717c752227527f2b35de5c770807ca37e91e0594607d2592904c5e532b7d9e0a86d28b261f4f5fa9915995384643</t>
  </si>
  <si>
    <t>586703c368d0e4b9569620fd839b0a1bee7edaa3b8061cfb7416130ba31372882946454614bf90ec1c85f79adcbd79f4</t>
  </si>
  <si>
    <t>47200a3164bcb2585819416c1ac871906fe725f07521711336bad46df82ce14e268103bbdff502a085df75bc901d4ac5</t>
  </si>
  <si>
    <t>7b35a1b6d4cec852d0c9e9bf37273979106a0786e1470717e5cd0cf5d0e1b77295273cbe54ef7f2c9a6d3edf1df79ad3</t>
  </si>
  <si>
    <t>414b6bfdc913e46833b9c6368374c27b3d7a0fe838e3f918ca1bb60e39b6b2837f475b68c9cb99bb7f752522dd5627a2</t>
  </si>
  <si>
    <t>bb192f48ce7d0039100ee6d7941917e9c4d5a9bb2640566606ac037d2b5d064eada81e0e21e5ff54b00bc6f3bb4a4dbe</t>
  </si>
  <si>
    <t>9059afcba0a5bb68250cad844e8f19d4ee8b292b65b6360902e7e684cb5e8a6b20bfb1e0dd355c3c8e5a42cc4c6d540b</t>
  </si>
  <si>
    <t>0a54e1c23aa783f0d3216ad649de26f694ff5acd96a9e91dbf5f2d65ff7231dfeba1d10cc94d3ebf5255109680bd83bb</t>
  </si>
  <si>
    <t>21d9162dad7616c6911691f8846d57dad2d7b714b5aefee3d5feaebf49531cf5282c2b3aaed5507f3379f1569bb70f84</t>
  </si>
  <si>
    <t>b7aea48467545a749adf25edd34c074864c040ee899ebdbb91676e111729cb1b637af1f5f8687b2023db2cb11fef50ec</t>
  </si>
  <si>
    <t>a668b31cd4b12fd03267e50d2559b4a11904fd0ddb3d4825f801c068b70c8434d17a3073c89896de6b24bd1229f6b764</t>
  </si>
  <si>
    <t>fd4b3eec7ffa1361da65c7b8ef6bf520985ceafbc01a04cdc7fde2136b6ce0265b50e1f33acd204d2cdf39cd74f4832e</t>
  </si>
  <si>
    <t>8a826716fa53270631f4531d7281120dfe8ff8054a6ca98c89bb5f3eebd3c5b9dabfd4da6f4c29b2e19423ae8e924164</t>
  </si>
  <si>
    <t>37c42d3401bfd27dfaf087c8c9a96013c419cdf779b6fab5567adaf568764fa0db8464648542b09f7c22e89dbdbfe6cb</t>
  </si>
  <si>
    <t>9412b9e62883c50ba273743c10191a17fed7a42985f845d9f3b2db29ae54be7202c924dec6edf9e64a06a3c18c14d1c4</t>
  </si>
  <si>
    <t>e736c4fbb8f231003d590e568d6e0b0949f3775afda3d38a619e44aa6cf6a99d24bf25abd530f5e49e2fc9c162fb583b</t>
  </si>
  <si>
    <t>b77ff756a0fb9b6cca177327660d5444249f62ac235310a96b8baa4ca2caf63363e9c15bc9d70fb1d16f02217067226f</t>
  </si>
  <si>
    <t>8ec16477aea9e6e4bd18bedfbc7d13610f482118dea11777c326b9fd7cd77683c478c3639a7cfb5e11fa5c6f557ad552</t>
  </si>
  <si>
    <t>d6010cc40e6c1811e097c3e37fd8caabac51c2c77b24f106e283b05fcd34b127002bf5e3b2222872c1b715d5703cc3a7</t>
  </si>
  <si>
    <t>ceea629e5070fd63d1162b8c03955e620730fe054a7f0f992c31532da3901f680fe406303825858ca771d1cc33efcd1d</t>
  </si>
  <si>
    <t>d2693bc8c4ac598adbda495c566576190e018c63fc3102243dd6b0a3d0d73e37c19f789a38a07e902fc9312a5c0be466</t>
  </si>
  <si>
    <t>e13a66dd783d46e8a3750386e2fef465cae5e26b20ef1a280e8df196c77ce082655adf04b30b4b82a3f2bfac675373a7</t>
  </si>
  <si>
    <t>89c6777e075b9e821753b88e3a9746eebb80066178a98200cc66fecc4f65eed4c6d6560fceb635d96d30501335b18855</t>
  </si>
  <si>
    <t>48be8f45cb4af84305df5f7b67aa6dcf1a3baddf27109677562c4c5ab549e3fad2109fd16a44602a149b636771577b92</t>
  </si>
  <si>
    <t>193c7041c96ac024563def28853a0f27f2aa9178ea39f9eaa9bd561be1d5d96e38484eb0a81ceb273ad917b29684823f</t>
  </si>
  <si>
    <t>a614040476e376b3a69a873baee9986b493f0f146d730d7ea26241b7a71402c496fb55a84128983082bd1b326c0d7081</t>
  </si>
  <si>
    <t>32737c3a5bd07d1f8bf39004f9797806a101ae5dd6324ca2e04547e372c342007e356897d54aaaf8ce814b854157b62f</t>
  </si>
  <si>
    <t>b15cf3f003a0defd13a5ebfbe6a174db591a090370adf55659430d3cc25900a559f2ff6f6a188c49519318b97beac869</t>
  </si>
  <si>
    <t>4805a21884b61c4fda831bd82c76debecb1530f6b098bcab3b3d5260a8cb8f85a29d1b212644b171a640401b8dff2fa0</t>
  </si>
  <si>
    <t>NC211</t>
  </si>
  <si>
    <t>8ba553b1ec04a4cc4c2219223e86f1968865ffae2cf445a2af3a2112f9a8b1ed8112cbc526e5afa1bff5e22f20586077</t>
  </si>
  <si>
    <t>1b4b2b9fd423c46803784e64763d38725eb49f39f3d6a77d9653cab8cf78fc9bafbf04be299afff91bf40b6c9d229197</t>
  </si>
  <si>
    <t>Stop SAS</t>
  </si>
  <si>
    <t>f9697878de3ad5b2bb7353d1d16c8d7f9b35cdcf00456e6c207e852db022f39ffa266f347ee2750ae516478c2308b8a6</t>
  </si>
  <si>
    <t>e22fa6165cdad8feaab9b95e738b1028a429561405f5316bd0dc5e48f485f76d0a996d783eef24d6bb99664aa2398e5a</t>
  </si>
  <si>
    <t>68852a69feec5d36d3b28a5b2901bad7939783617ef9dae7831ce07da00f4b883bf8195b68d3b30639ab663c367b1acc</t>
  </si>
  <si>
    <t>067a21f55aee224d8d6154cdfc45ea079f5c2d2fc667edc8cee8a0dbf972c916eea0dddc66466ccd322f8f487db08111</t>
  </si>
  <si>
    <t>fe91716ba17cfa9d27e74234e6738a96d5fa604c9db3b4c1390ee36e09091ac3da17d3b6b7052962ce496637435367c2</t>
  </si>
  <si>
    <t>af5f794f3e7e0ebbeb02dc698eb97e373f0f2ed28c23a8864e67a545933ed65a9e4fba6aedb6d08e0863a0f1b923da96</t>
  </si>
  <si>
    <t>0ef1ffdb8cddd1675c5f72f0b7b6f14a0586c779ab836f1cb62508149ba2322bd770d17f1b801a06601a9be6ed4141f0</t>
  </si>
  <si>
    <t>5414ddededaef57d4cd32d1b92e2fe5b98f945051db6c98eeeeb710b4082af456a6cc5aab44faeb5f4aad5af4d2b6c02</t>
  </si>
  <si>
    <t>d86239b16f13db3a6d3080b658019415c699165a222a7db945ec630fa68af7b347972352e4d1bc626493d81faabc44af</t>
  </si>
  <si>
    <t>be85734b81c7f1661e94998c1356a0ad4f28b925896fe55ce5cee97805d80db7f8f155f101e2d97a4fe5f677856d8b92</t>
  </si>
  <si>
    <t>Sales Rain Sas</t>
  </si>
  <si>
    <t>8a2880d7bdc8dd4657d35ac147474ce6daeb803c06caea4d7c61d9e881d09f9a965f2d496bd70563212463628589df86</t>
  </si>
  <si>
    <t>a4a0e8f9cd3b05c5c6ee53e92a1fe496f69e7caa6f7a550fcd5d99d7b78ae0ad259371e60e5359d11738dff9c193c238</t>
  </si>
  <si>
    <t>5c225660727419888c4602d886f9fb9a6a44f29fbf2f7592310455336bcab85bd6685c62252830ed81d0d914154e7ce4</t>
  </si>
  <si>
    <t>dffef2001d970e44ea09e88aa3f4303de049518108507333ab7c0aa2006fdd986cd7d76502ad01cd257b0c2af8316ac6</t>
  </si>
  <si>
    <t>3374b824f0dee26a64ba4c67d70c0b0d1a8141635d57cdde300284ea162b06eb31252884af7b1b3ed46d7bf53840187d</t>
  </si>
  <si>
    <t>f2c5b8b239cdec9d39a4e1b485cc521d94660786ab8ddd5478e8a16b56746ba2a997f653c734d5f2183d636d8203f827</t>
  </si>
  <si>
    <t>db9918c891488adce5038c8c27463b72f7e350c81e496fa48cf911deddc0de35955159deb87e86b92ee5b45b84b430eb</t>
  </si>
  <si>
    <t>91562dc8f49c29b63207870328df3a5c734d30ffa940d29eb813305e2f015aa040c41b403440a0a70b31b1328a8ebfd8</t>
  </si>
  <si>
    <t>e9eeab7d31d05e5e2c0f62b691d070d5ff4c27a478acdf88009b9bb1906200a441234d5d403f2e502a29acea7792edae</t>
  </si>
  <si>
    <t>52469f91abb288f9ca4e9e25a6c5a85b40ce06b2b08ddad37e95c9408f5bef7abd87064c0bd75e67c5ecc01b75f146cb</t>
  </si>
  <si>
    <t>94a3523063214b31437b304d315577505a0eb654e2d4f2f8ae935a1f683d48ca65d199f650fa12520ebbb3544d0c1755</t>
  </si>
  <si>
    <t>984ccd2d0b1484d7d2249c57e50bed286bd8f4db7aaa91a09155872dd5451cc5971c464b1ec7092764d0cf653251428b</t>
  </si>
  <si>
    <t>5c4fb9a6b72c2f6820761707a59892726b16d6854eab30677d2e62c5b2cd10015ba09578048c69d90ad72d9d52222e3e</t>
  </si>
  <si>
    <t>331bc2b17282b89411361f47a185de8b67625320a79ba7a19ddc3dae92b5f5141040b1ac65f43f6f6cd468f8833db30d</t>
  </si>
  <si>
    <t>75939e9052ee6bc6374293aea8c6dcc1f0ea55c37248af13f1dff60f0148141d777804ccd7c246600a6d1ca8f160e7f5</t>
  </si>
  <si>
    <t>2f69f99aabfdde8e953835da516dba480b0664ca90ff1060b111d96ba950f0d4a9a9e3cb803204e179be4f4eef099eb0</t>
  </si>
  <si>
    <t>0962a335e07554d51ee7bdfac2a691ea5713985e9e1c9d83bc474cf3249c6ce191b099265a416358787b0c528501df97</t>
  </si>
  <si>
    <t>NC210</t>
  </si>
  <si>
    <t>bb4c5ce47a0ce8faca20aea7e48e13a5dc1759d36df750f22a5990a5a8dd7fad91831ba5e7ed7dda0798cbe8d98a22c1</t>
  </si>
  <si>
    <t>da93a9f579da7c57b5ccc0148ed8eca966414781dbd8509a2621279f158780d5b38b19b850dc3afe40aeff8bd147668f</t>
  </si>
  <si>
    <t>2c74cf9c3cf71474b4f1cb67111c4944c853f6271c056bbf3efe2a585edbec12c44d48750fc89302771ab291bb3a8166</t>
  </si>
  <si>
    <t>140054dfee6558c3da6a504586bfe5210f8c2df49d6e36056ff2b756b50224618914de52b1c2f664536903f6ec333da1</t>
  </si>
  <si>
    <t>1cdf8f1ca3c11873425578cf5339a5fba8997a028deedfd1e001116417701cdada0b8107a9e8542078cf8e7b65e2b7b8</t>
  </si>
  <si>
    <t>8fb40dbaeff1f25b9a32703c1249c3e5af985bbd604dbb03d734479d53587f4a7641b1b2b1543c5f960218244cc33995</t>
  </si>
  <si>
    <t>6a18a70da38a20597b226eefc6e19d096d4437c380654d8f3ab0ccd8bcc0fa516824729d3a6db22fb09821b855bf7b19</t>
  </si>
  <si>
    <t>bff6e20b4deecf9959040ad9793cb63279f7fa717b7e35e72baec817f58e9d72ea36a04de532e0cd3b5521a0e7aab393</t>
  </si>
  <si>
    <t>b1f99f91dd76540eb407d3637c880fb5d6758f2eb79b7258db80d531f810cbbd57c1300e9065599991793a905b830932</t>
  </si>
  <si>
    <t>673f528c15b1bd66e060f35f1fd4bd1e32c72ff0305ae74a942ca48e619e82a310fada627a8d370e0375d47632f88077</t>
  </si>
  <si>
    <t>0726f0cf11297740dbde31649181fa557b7e21298855c64ecd8085798e20bf717bdc0054583d8a9278fb1019b2e57aea</t>
  </si>
  <si>
    <t>4650b68e88a58e52bbb564506c0b400159e24c64218baa39c05d58e39f2174f9f66571db149c0aa171458d2a6640366a</t>
  </si>
  <si>
    <t>cbed0cb92bb7eb306e64c1f374191dbbcbad5d723e5f7cba80fc0f83aa6ca61e10627c10863fbfea73cc03741744d7e2</t>
  </si>
  <si>
    <t>6eee1740a9991f4923e40505e83ee7ebe63eb9df702703a0f13f36ddcfadd88a8e136848120248e8ff0234200aefd666</t>
  </si>
  <si>
    <t>NC29</t>
  </si>
  <si>
    <t>c3ec5c399a0d4c2dec6c0d3c17e69dd3813f50920780bdafe6000e124dbff3cc28eccb91123ae57682548f75140ad7ec</t>
  </si>
  <si>
    <t>1034667e99279e689903b743decdc97cb5796fe8ac1f26012f3fedf5cb3f180166dc6b6ae4f1c03f57c871043cea0962</t>
  </si>
  <si>
    <t>NC28</t>
  </si>
  <si>
    <t>3691ef5d0b732203945dca9d346fcb82555a35158dd414c27edea26700927cae07f59715c47aa2f7c2091799a5ce340b</t>
  </si>
  <si>
    <t>c347acb92f853a0cdeb483a361869df696bb8ebfb4564eab5ba1c0795bfb842a0e171239eded52cccdeb188adfa7b612</t>
  </si>
  <si>
    <t>9188b5a65ac4c40bf05119a3f4287cd75be3c3877101efdca8fbb3c2b8ae79c91a299863277deefa2bc371c8f5b5784d</t>
  </si>
  <si>
    <t>NC27</t>
  </si>
  <si>
    <t>1c17f51602c34e98cc5f31ab855ea411c66829aa88e386d9aea9c25ee9aa24877c55f1ed1ed8cdaabe57c9ffadb17cf3</t>
  </si>
  <si>
    <t>NC26</t>
  </si>
  <si>
    <t>MEDELL?N DEVELOPMENT ECOSYSTEM S.A.S.</t>
  </si>
  <si>
    <t>41c4893b65785916658349089676caea2c347677491758933a3b5d9d0e9e3e8324ba7abad37efedaf0e53d57d5d3c511</t>
  </si>
  <si>
    <t>c516c64bc307299df547a85a61cd5333bbdc4578c10296c92df29178dc067b128de923f668c473182d04ca32f5b8a3a4</t>
  </si>
  <si>
    <t>f9d7debb6f0c30b3024ed6b79b5dfde933f600ceff2dde9b6a2515e0ef76c0168a1d7751b4dbcd3e28d44ad69564dd6b</t>
  </si>
  <si>
    <t>e6d2734321967c379c72290808762f7e39c1e21f159aaec3087340bd85e0914a25343f190998b3b4f618cca585579be3</t>
  </si>
  <si>
    <t>7db84a5c36a72e8ef479d4d9ea9cb0211dff0da419b5e89b0f6634112a6412ad33c65475f5ef3fed022b8c7e053d82e1</t>
  </si>
  <si>
    <t>0ca529a4eb298c18d480562f77e345f92b464cc18b8ccb83f0f630dabf30fc547ea3e4dd1d319d701ed16d92edad320e</t>
  </si>
  <si>
    <t>f9dd8b3ad3d8364ed6dfcc108895644395a167bc98bb865a63c6cccbb99913a6e325372135694ccfeb62f7d68caaea13</t>
  </si>
  <si>
    <t>d53772acdcf1cc5366456fa98ec0d12bdd3070e3957aa498343074adb99ee58ab8d933d301a21d7124489d21ffdfa473</t>
  </si>
  <si>
    <t>5e9fd1c0458025f1b3b27691664ffd8cc8cbf19c6d5a3f0ec0003701a906f92720805ef9bedbbbed32ac6a617554fb35</t>
  </si>
  <si>
    <t>5df5cd33087bf437a64d1a15fc8d6721714f49d6434ba8554131d9a3f1caa943590adda6038b57a5c04deb096205ed73</t>
  </si>
  <si>
    <t>SOPORTES TECHNOLOGY SAS</t>
  </si>
  <si>
    <t>7be59fb600d35fac22f0d95eb8342a0dad206dd309dc4e4064cc99748e040feeb3f78035b5af83f4d6d2c1062c246696</t>
  </si>
  <si>
    <t>f9317be93ea191d48fcb4ed2ce8206701d38244afa1e409c42065e14c2689b81d70566eea86f5bf526c4f90127f3bdf8</t>
  </si>
  <si>
    <t>3686f1bb102c502cecc72c895dc6f02c3a8e0c01ab39b76de558cb41e1e90e22c8c755c275f75d40868478bcbdbae822</t>
  </si>
  <si>
    <t>57ff3acd6f0f2420c0a83080341ecf8c52006c73eac1ea19eb1a78ab844ee611c8a1479722a9c3a41dae6194a89ea1d7</t>
  </si>
  <si>
    <t>da64f80422532badd9ecbbfa03c553f7a1bff64dc7a1bd15a2ce081ce63f05b1f1445bcec632462838cd683d276617f2</t>
  </si>
  <si>
    <t>eee124f748c9937257cf344c92f20bb216b9c0be12962e8825efd4b10bb3ec0e12c8a0395726206f1fbcb32411986083</t>
  </si>
  <si>
    <t>5aac5d4ada2755e49a14506f53122cebf66abd360dc14ec3923a896f4f1c19f548b2925ce0d287d3db1ab9f60ec73022</t>
  </si>
  <si>
    <t>3bcd8d6a9a4e1216b7829efad36349c03373471ddbff10c47a9b1275d1e188c8eb7bec6d04e3de1636d3ec88498e55fd</t>
  </si>
  <si>
    <t>f6822a5066ac641ef15ea4ec637c2045cd6fa8d8488d01fd7a5ef712b70a29d727181b324aa0300d0a6f20dc777cb11a</t>
  </si>
  <si>
    <t>f07516a5344c88f7ee153ebd008544930d793ebe39aa5016c34737498b8da5ad995e575750cac386e5357f59dc5f36c1</t>
  </si>
  <si>
    <t>1c643234ad97de305fb83987fc2c4b580392a29c655f98b103e9a68d9689c2d8f24f8297462a5582d3213b80238dded8</t>
  </si>
  <si>
    <t>b5eb79b21ed0f1e67076aa39f698e1d08bdfcf36c0604fc4202704fd21bdeca31b494907cf0994519ec96d578b4db15c</t>
  </si>
  <si>
    <t>61d68331100b989fa4d8cde7fa199b46263eeaf4fe1d255b301f365b8d5c2fac39ab6a7376b0d8919f4b2ecdb0620c2c</t>
  </si>
  <si>
    <t>f7eddf7925245774596fcc95f7a7feba0e49282ef3ecae1b4d145005ece09d0493a02deece80d26a9d6c4f44fc0ce0a1</t>
  </si>
  <si>
    <t>CI Global Exchange SAS</t>
  </si>
  <si>
    <t>f51d56bc2335801e11cb5b82836c297b878faed183f022fb99b30c22fb67db121a1969daf4e12cbf6b4a0c432d90785c</t>
  </si>
  <si>
    <t>68cda403eeedc9473318dcc24b63d5cdaae72a93669117d1a626c04f35ab1b5c6546eba12d0234acb277b831edc1bda9</t>
  </si>
  <si>
    <t>c7234dc789575636aff0fe3c72c555285c9b9421d461d13a7ec2b40fd633c612300dfd8b27500294f160a45236900a95</t>
  </si>
  <si>
    <t>34900d485df5ab3b6f4eaa7adb5461e28f617c12a7b4f6bfbe2b16aaaf9b8297a88fbba444a340577bada0c913008c77</t>
  </si>
  <si>
    <t>LENTES DE CONTACTO S.A.S.</t>
  </si>
  <si>
    <t>b189f26cecd64166f402f9fe4306ebf4477f123b1f7b9a252c2243f45b0462fe5844cc13088a73e14c0dc6488f9972a8</t>
  </si>
  <si>
    <t>Compropósito SAS</t>
  </si>
  <si>
    <t>bbb2eddb82c50b7de52c51611558889a95173415a6401d6a751874a550505dd606a8c3c9f137066c74baafe98229df7b</t>
  </si>
  <si>
    <t>e05b130f0eaa1e8f9b4c0200dc561c0a6461d3a2e4f4798a74ef8284a2f677db406c340b70a20ff767eb6648a54269c1</t>
  </si>
  <si>
    <t>9ddde26cace5f25f80a1465fb812fc32daf052bba7182a186734917d78a252a37c52026dfdd62f0321d7365f2a9379af</t>
  </si>
  <si>
    <t>78435bfc9d7eaae36fcf4216fcd14cb7dd8e5bc790d607c4cd2c43ab99cb03a491f5c6bc76634ea1c867d158e3521bab</t>
  </si>
  <si>
    <t>818ea5a8881219814460494215dc9d9bc14276db214d1c839b04465f03abd5dc92a914250c566d8ff0f0358dd682463c</t>
  </si>
  <si>
    <t>bad5f7c88af7a7269f32c62fe7b59be979318f1521e550b1085265016439beacedb5938c2960e36a180b929a51286113</t>
  </si>
  <si>
    <t>e72381272ad67f84217fb95c2afe7653f5828f3ba1a72fc230d55f12ddef1dfb2f0fed721ecb0d8cb43bfe3950b34e29</t>
  </si>
  <si>
    <t>d6e7d51b078c3a154e05798b680b8b5fcb98d0cdc77d92093cf28beacbc5c0b228e99f9eead100cf034d763c10352e92</t>
  </si>
  <si>
    <t>9a55ae38f5de738e38f0d5cf351231d6d62060e80ad6ab6261a69d8224ed727fee911d6112439e055819a5e352657346</t>
  </si>
  <si>
    <t>8fcd215d593f49587cbe04cef3dfafde6c64185a1b9c355fdb2d4c9837382af49704e704e71e38e4dbac5584906c853c</t>
  </si>
  <si>
    <t>GRUPO ODONTOLÓGICO SMILE S.A.S</t>
  </si>
  <si>
    <t>58617049ca5f28ed7b2c208d9e8dc872a2024fedb84fe2457e4468e389eeede76eb88b43dab3d0ff49b96d624f373797</t>
  </si>
  <si>
    <t>ARRENDAMIENTOS PANORAMA LOS COLORES SAS</t>
  </si>
  <si>
    <t>6687a852b48a4c1b91f584e28b2855b4fd92b218e81935e82509fd37bea7b5b8f346f3676c1efa0dcb324028bc754919</t>
  </si>
  <si>
    <t>cff14056a7117a18b50929a7f90595720c4e3b864a435aec2bcf46a184f476d050e93305fae2b94f861d5969b06ffe98</t>
  </si>
  <si>
    <t>68769a8416e5689e3cfa03f7848c2f03af7fba4b3015cf95b8a040e8f1cf4f1357e22be66d01d03147fad44c6c969a87</t>
  </si>
  <si>
    <t>a2b47320143752a7ec786a515ede5b48f10560e881edc5786d9495fdcc310f6c3fc45785bbdb275aeadfda8ea1a67b78</t>
  </si>
  <si>
    <t>8cfdebd8c9ff23026b2c3e2b8f0f13227230f49ec964ec2bbc29510d654b4c9a0bf02e4409718b066e0422dcf5e1fa22</t>
  </si>
  <si>
    <t>4c479f56ec78124a5fe58e8484f07a55f838b8ac5af01419516bdbd564216ecffd172ba76e6ccb919782376f89d2c097</t>
  </si>
  <si>
    <t>c67a635e391f057f7bb3470a139eb58b05e38330177991a49bf079dc7d34ff5f9499bc3b10f054ccdc977e1e5da3d871</t>
  </si>
  <si>
    <t>74e7d83bb3c1bfdc518ce0b3bcd2ed588f3d0e2e0fb99f2bb9df0d162b358e9a04bc7e8cc483460a9cd009e700dc25e1</t>
  </si>
  <si>
    <t>bd93b7ff0caee7cd7f268d50964834471083cb129e5a7a15d38a4a672b0d1933e9691af2b205ad9baad1a92f9d796cb5</t>
  </si>
  <si>
    <t>3d0319d9d181f706fbe1267666fd336d5b22d9531aad0cac9b66f55ec76a7363a3da6797a82d3c7659edc06f2190a84a</t>
  </si>
  <si>
    <t>e1d462de6b3daddf5fa3078103280f66606a5d38e279edadf4aaa67d006c8c1cc5a76ea6a8d8f7bb4190452aa65b2706</t>
  </si>
  <si>
    <t>864886d607a69d9937c8f682fc1e6aa84c66f56f4dd11ab90029dac4911a564f07ef761a648739ef894a4ebba5ee643d</t>
  </si>
  <si>
    <t>7a21b4e138dcc92bac40af351feffc435b74c630ce5a83d8ad2bf4ee0f19dc0e323bf41a2336fa1e76015ad830f34bf6</t>
  </si>
  <si>
    <t>78dd530d8ab8dd08d9a2296dc4355c71d352d2b868c6a78c28420cac711e22ed7b6804b26a7137ed631785e00576464c</t>
  </si>
  <si>
    <t>46b28884976016777cc6a1a97091454864022fb353b17b172c8f23a9f7a69d81fda210b722fd93aa919fc3b2a79a8eaa</t>
  </si>
  <si>
    <t>44d27f7754af2ad25ed2681d75b050b5370c10774f60d1fd861d93b6a1e6b56bbd2aed7f0e44a5a6cf7f2240e214a49f</t>
  </si>
  <si>
    <t>NC25</t>
  </si>
  <si>
    <t>906ac52eea9b60ae1433e19d67f7980c0436a6a9878a59aa4bfff129341bbf74e6db9cf4b99f89e58f16d0eadba86252</t>
  </si>
  <si>
    <t>5030ab1e692984fd25b06fd454309c4910f89b02280eb7d7b7714e3fc333f59093d681fde6fb67e451b58cba391c6734</t>
  </si>
  <si>
    <t>NC24</t>
  </si>
  <si>
    <t>11f5ede4753524605e1064ed54383165bf4347e76839e7be806996e59ef8ce5d5ae873367d2e0bcbb10af92998e45ce9</t>
  </si>
  <si>
    <t>f67fd11694aac40319e2922d3b2f6788186c0f2fc67905c8cdd75b5753b3e4a3352dffb256436f9897716fb08729f97a</t>
  </si>
  <si>
    <t>b92f057730c0a5ee37143f2f937ad6e969f541d1914d74619125a217bcb3fff379a350adab877fe0fd560f5db90d9e15</t>
  </si>
  <si>
    <t>46797f9e30b1899f0e0acabbf2b85b98711e01fd3c4aa5aee2cdad7836e7582f3a7362eebf7b38114fd1575a22379fe9</t>
  </si>
  <si>
    <t>NC23</t>
  </si>
  <si>
    <t>7156c0b5670d6b3d092f4410f288cc82535047e9932448733a80295f5ea5c882157ad85f3a2a3a5ec43f28bedfd04d2c</t>
  </si>
  <si>
    <t>27afaddc513166c84b743909c61b3b9d680370ebcd41db7fb5d342f61a845c99b67797787ac76b1c3f414856931052e5</t>
  </si>
  <si>
    <t>8e0b69c8d2e5e781daf361671cc6af21d891161e583f6b63edbdd91480bcc900eebd91554587daf1a6a2d27ca6dd9167</t>
  </si>
  <si>
    <t>da1a97fb90e0ef5809bcdb92ea815bc9c21dbd909b77cf53c25604711e36c7a6ae9ed6926e313741e3d2f36174a22440</t>
  </si>
  <si>
    <t>4a1d0915902bd437c43573030822f150cbd8ff4118e61d425ba9e590c623782910519475aac0c9abbf932428f478a184</t>
  </si>
  <si>
    <t>08ed10b5c6a17f929e41be9eb3852eef6c06c34cb55105f7af74d1cfe941da5a8ceb3d40cd5e88b117b9bb577ceb62b1</t>
  </si>
  <si>
    <t>0819670a329bcc70631ffde73b7ec349f4d1e4d1894802a4c1f1d7db3a32f3d5dc438136ce3e38041549885fae8f22bc</t>
  </si>
  <si>
    <t>53621192086109c45d2ae5de90054a790911a0085a0f8b221497ab29f8626b80311ab310c68b7be31a5066d6972ca208</t>
  </si>
  <si>
    <t>2a7a69441e8332fbb6b65f5c3179a20f02028e330bc141d79b80dfcec1b4971feb5794eb0152e4ae05b5b185d5cf0474</t>
  </si>
  <si>
    <t>a20c3f80551bfb0564e54f37023d8a3b9316d7653a6d5149061bb8e2b0c9bb3469afb21c1afd7d0553a7e19f4f456f2d</t>
  </si>
  <si>
    <t>5941090c391bf2afb511d3b68f63765a860735a203fb4f619d30cd1669a9fae7e6c81fc4c1da96f23c1fccfd0cbcb41e</t>
  </si>
  <si>
    <t>3683494c4951f59c71f25d60a95a5111801ffe194231c3d32c858897d6491037bb4757c88cdced79f3f7d748ef473b81</t>
  </si>
  <si>
    <t>530871df9b884edc1a80dddcfa246e879c788cc35d5c0ab618c502c21693bb4b62a67820d4134db63010a54cd3df8441</t>
  </si>
  <si>
    <t>db6caa3a56c2c253d8a9f146723f07ecca4552e5b95a5826a481fa5029de25c3a84caea1a1550bf68128af8fa7fb09d0</t>
  </si>
  <si>
    <t>327c53fd77328675814f1881b7f2984f22cd0b3b63f26b28b3229bfdeec8dd42c540d07338cbb95cdcf43e819e297cda</t>
  </si>
  <si>
    <t>12f50ad310667c00066888a18d0956f22f470e772e8423f107eaeabe756d3e9ca172b8187a77545b056d18faedbcaf92</t>
  </si>
  <si>
    <t>b63cc0b977c6983d13b921e34aa9e284dd41b364a1c7c9f5a63e4396c043294d15fd512e18d5a7d0231afd5e81c43e0f</t>
  </si>
  <si>
    <t>39c7c4359da505ad00b15df2c15c0e690790b604e846c3b7dba44734e0693e97614e24052c66f9bcbeb81bd8b05e2bee</t>
  </si>
  <si>
    <t>ce7a318587ece779411c37ffc477b3b5408e0eaf8d3b8548265bd110a2a52d30d7e7425b4f690cb19657c97125b3dc39</t>
  </si>
  <si>
    <t>3dc674722b26a47b1509dba07ae60e7353e916383f7699bc4dbe76e55f0e5dd14e5124d51b1e51d5364b56733fe2b944</t>
  </si>
  <si>
    <t>11a44a06a1907454ff25a45c5b08fd19b9ac408f9b076f413c3d8ca89638a66784536409c477025b39ef652e7e72dc34</t>
  </si>
  <si>
    <t>0dee160249624bb88ac8092d4b4c943ecae8cdd3277716c60142121ae85df52c2125f2eb9c77ce4a3b0b586946c8479b</t>
  </si>
  <si>
    <t>4d38f0aedbca04643cb0dde58169bd1873a4d1770a4d7546bb505875a4db31d0d82db08533c53a203a459b3c71ee3a7d</t>
  </si>
  <si>
    <t>8ccefd99014b5b1bed65b5b31825552e26d850b47c7434e02b82402973e69e48e83620099bb7ddcc301db16a61e36d4d</t>
  </si>
  <si>
    <t>656713bba8a6559d2d1960b43571e99c4b091d8614d018ab8101133341c84856ca197648877435909483903d191dbe0b</t>
  </si>
  <si>
    <t>e6fbb1415c07453e1a9d7c2ea76ba8fde58d3e52cfef01fc3c71a2bc157c2ecc9159dbe65bf788e26fd1de887050b9db</t>
  </si>
  <si>
    <t>c377bf44842c9c5320dfcf7cf2dbd9f85d14830d0636ced2a5a0ea1365406c000fd10a107824aef5042a6f08643b501a</t>
  </si>
  <si>
    <t>ab2636ef8dfeb543f0b46970df338fef89fdcc159a0b355c08eac12d9e5251cbcd3245b3d1711afd028bed9b7a87c36c</t>
  </si>
  <si>
    <t>Juan David Sánchez López</t>
  </si>
  <si>
    <t>72863de7868f0abdbdd930fbfc0ea9a0f5d515e4bfed16869689bb21ee3f142debc276a53175edf589d4ac55aab41fa9</t>
  </si>
  <si>
    <t>db8a1f4e0d65c120dda9845e9205adbcf7ba3cf86522eb363870ba829ba13b4fc1255228d98f2bd5562dd67d919e6ccd</t>
  </si>
  <si>
    <t>772991fc2e77053fadc949a1dc9fbc1977968fa11a8275058a31f6de52fb93946da79fbcc07829d440b9866e648f43b7</t>
  </si>
  <si>
    <t>b05acc2b5ff9022f78c638734c211ffaec00d62e305a3fdc5414868a4505326a789ee4b80af3032d89b5461acabdf380</t>
  </si>
  <si>
    <t>7c36d10f78a314f6f76dedd6508b5dd031f2bcd4451193b4fe048a5cdd28de45db34b0e2b5304117c6ef91a6ebcf76ec</t>
  </si>
  <si>
    <t>0631da87c0dd28c369f2d5ac0edf51ab273ed8a9bc97a4b26b21ccb923cc65761a5512cb466872c5a7264ec2dc85fd5c</t>
  </si>
  <si>
    <t>d717478f93644c5e897c53d595823101f16de8c0670218f388c2fefa509bd210d744d8a33d28ddfe32327aa8e7ca478a</t>
  </si>
  <si>
    <t>3564cbff70d0951b5d137a9a46dc143364bc8c428473bf815a13ee08018955f1b949c1a2eac6311846438d583d175679</t>
  </si>
  <si>
    <t>206c7047b43c4e5972edd21f5ff4d3958a2a50a0fe5a54b7b63b3ab0fbeac74467ffe7bcf76f05ecaf0e0211af1adbd7</t>
  </si>
  <si>
    <t>de942786e33655c11579363a1dcadc3d003330ac6f96e8198abc4b4d233aa295b31976e8c9262f1c4b5ba758c05e299a</t>
  </si>
  <si>
    <t>60272ebe7c7202d4a41c62867d95e3999680185220d2ac047bf981f3c27347786fce3d450d473d5f60bb864ddb5529d6</t>
  </si>
  <si>
    <t>8c3524eee64492a0a921cfd77aff1e59be8f14c6bd4ed620554cb8b211402d1c1673dd5221877848b9f71d825ecfbc1f</t>
  </si>
  <si>
    <t>09b74ef09160df8398c4c861b7386ba34d16e87e33c186511ef0b5d91ff302b9844d37f39124fd7ba5a2eba77e88bfd1</t>
  </si>
  <si>
    <t>f3161854e51c1d76d4cd10e16294e81c2eece185795d1d5b33ea06ab05b2bd7858c61c86f6cf62fe1b03844548762e28</t>
  </si>
  <si>
    <t>d717c9894107f58afe544d83f3b04368108a1719b77d6e11c76005b9cbfbf90b39bca792850ceda3f2897f81696a223d</t>
  </si>
  <si>
    <t>75231292c4b4a470e70655ca3e1b3b261d3a83e02be31336c3397365382a6404fb39a5ff3a5f293f457d1fb581f8f5bf</t>
  </si>
  <si>
    <t>43fc38cc4c62297a0914ecdf9082041b7539470b9d0d8dfa899bc8e5f87970f90797d2bc0e7b6b70f6178bc486546658</t>
  </si>
  <si>
    <t>c9563be5dddc6b80ddb330b40527af86d9e062dadd0f5fa89477e779d4639b7b254574d7ec63f689d4e468969106b8ca</t>
  </si>
  <si>
    <t>IMPRESISTEM S A S</t>
  </si>
  <si>
    <t>5bdad4827eee309f4bc627d90cebf329e3bd5da53eb857a689de49a8dc4f87ba3af6ee733d944775740e0df6201308e0</t>
  </si>
  <si>
    <t>Cristian Camilo Agudelo Castaño</t>
  </si>
  <si>
    <t>6681799a63525ac4f61f4ab77647d30925d9a1a20246c70a056c9f1f468b77789bc825db4abdf0235bee36f884b4ab37</t>
  </si>
  <si>
    <t>e6d75439dfc94c452f43da7382d40c0fc531d29004e4088381aad8baf0bb932827e13aafb8e6cb3b0461dd612a642cfb</t>
  </si>
  <si>
    <t>287efd1111d9df3f1d35981d477437a3935829354fb79c214338a3cdfe104f0ebce51f0c4464a104b47ec9a2a5a848a9</t>
  </si>
  <si>
    <t>da965cc736422b2136d3bc9ee0868612c58cb1790bf29dbc23c90357a3088520b3d7db46e09fb537a4cd81b332f5c610</t>
  </si>
  <si>
    <t>187a7140782c15e4c06605f2b0a0043142850b893f8563f5e8cc9d149070522da5c0e579ec09f757bed4995a5094fbcc</t>
  </si>
  <si>
    <t>0aab57ed6fd68ee08c575bae8d787268f60738dc0db999b3ecf18ede1ef7d6635b168bd0753ae8431fae98935077e58a</t>
  </si>
  <si>
    <t>NC22</t>
  </si>
  <si>
    <t>1563a4b96c509c44e757f16d7ee724f24ad8e5a5054346260748fa259516f8cc2debf79afbcd04ea11127f5422cfe4a9</t>
  </si>
  <si>
    <t>9a7a3c925620ebe9f7162021877c41ae22b92e44baf63770911041fb15e958d6569a624b68c2ce392dec9609012d7b4d</t>
  </si>
  <si>
    <t>6337f55a1f7bee8e17b6fd6a52d49da9ef1f875222dfd6037c781e9acc6ada0cb072de4681eb32c2a264df36a420ca54</t>
  </si>
  <si>
    <t>NC21</t>
  </si>
  <si>
    <t>bc7e4abaa565e3360dac35f42cccceb4bbbd3626328f38a5fd9e96a60a778981109b3b795d3b4ee0c5f505fe407e1cad</t>
  </si>
  <si>
    <t>Total general</t>
  </si>
  <si>
    <t>Suma de SUBTOTAL</t>
  </si>
  <si>
    <t>ok</t>
  </si>
  <si>
    <t>e28c09b7699f692230f516beb9b2781f68209a3b04f9b0fc7cba231a8d521792b9fed3c89292e12ed5b4b7b13002d8be</t>
  </si>
  <si>
    <t>TECNOTICS S.A.S.</t>
  </si>
  <si>
    <t>ebe95ec7444370efd7a552502fcf29930fcfece6b2b1d8f4d2bdaf209f7425942e2d46552cfa1e06394fe23d108c770b</t>
  </si>
  <si>
    <t>JSA DISTRIBUCIONES S.A.S.</t>
  </si>
  <si>
    <t>c76dc187c2f78bd833cb701d006628ee54dc3ba62b7136fb89cea1222ed9b2f098fb48ba326cf3b0969a9198987e28c5</t>
  </si>
  <si>
    <t>PAEZ BALLESTEROS CESAR NICOLAS</t>
  </si>
  <si>
    <t>74b000d75141dc8628c2ba82f6be3da8f1cc9a8bbd76957206b138ac2ad60702b87b4c85cdc7c156f46f2675b65e4561</t>
  </si>
  <si>
    <t>DIEGO ALONSO MURILLO GUZMAN</t>
  </si>
  <si>
    <t>df22eb1c87b063255405c75c901219dbff066c1a68594d36f17f5bf36a866d7f7d289b55d3f96a12a5318727d0fd30ae</t>
  </si>
  <si>
    <t>CONSMO PC MAYORISTA S.A.S</t>
  </si>
  <si>
    <t>6c5a072ec87f3488df2a1c0dcbfad8165fa8b384868fe403bab6c3dc7cf99f108e7b4ce5bf1fd8b8fc806f97f19a37f8</t>
  </si>
  <si>
    <t xml:space="preserve">RAMON ALCIDES CIFUENTES SERNA </t>
  </si>
  <si>
    <t>9ecf7a065b0598de8815ebdab0a1a977eb6b2e49ef4891d8d866f7490009f8add0399b551298eff88151de53c282fee4</t>
  </si>
  <si>
    <t>F2X S.A.S.</t>
  </si>
  <si>
    <t>Tecnotics S.A.S</t>
  </si>
  <si>
    <t>b10c4fc37a4d66b8c8e3ba04389cb2cc95669bf3fa36c9a6d5b43d0f2776a3a661f4b711f8be659c870db28286e2dae4</t>
  </si>
  <si>
    <t>Documento equivalente - Cobro de peajes</t>
  </si>
  <si>
    <t>4cc16ba17f6702d3cdbbbce7fcd53948b186663c63ce33f0f849c999f2adea320a4de4d5a45692a381fad43f8c10982c</t>
  </si>
  <si>
    <t xml:space="preserve">Tecnotics S.A.S </t>
  </si>
  <si>
    <t>57a1dded2b2cc9efb7d6f48f4d0c9d6967087a8982e1148b1c06f260d81ecab36291300288c903eb43700c0471b12383</t>
  </si>
  <si>
    <t>7fd460ab1ee66ef439559490c092235e92215e22771a1274081de0ee4558dff68aa3b0e51e4038ee2f384b36cbe7d046</t>
  </si>
  <si>
    <t>d2d556c9e420610eb62d728be7080a820149b06428682cef711712df243d5848d1ce21af6592f412ed76e716baab0541</t>
  </si>
  <si>
    <t>3c9f76ec9320895f4d05c94898dbc5f18fefb6efe8fa52cb8c66d9d7111a172f33bbb12f19863dc9158bbb1b6e9ef778</t>
  </si>
  <si>
    <t>DIGITAL MTX SAS</t>
  </si>
  <si>
    <t>TECNOTICS S.A.S</t>
  </si>
  <si>
    <t>eabc7bf87539ba54b731da5a41bb192b93ad7018d2f843c16100ed6181f037ba95ff174974bdbeba0038039d91432166</t>
  </si>
  <si>
    <t>041bb1d29981ef33536142666e4e7aacf95f41a0ee2eedf635ca76ec3af125550a13dafb87d44ed257ced5d6052ab75e</t>
  </si>
  <si>
    <t>32ba76ef8b9a823b93d1bbed38ada01ddbc86f9195b56694255776a525bba0d7c30acb4329f765bcf03f5d6e5db8b4ca</t>
  </si>
  <si>
    <t>JOTTAFOODS SAS</t>
  </si>
  <si>
    <t>2f41718d7281099d4b93ced51de5a20fa563c31b02e68bb45bff5b34b4aed25eea9a5efdfbb9a311572ab02fc5a37ab8</t>
  </si>
  <si>
    <t>TERMINAL SUR DE MEDELLIN PH</t>
  </si>
  <si>
    <t xml:space="preserve">TECNO TIC SAS </t>
  </si>
  <si>
    <t>7940ce23bc63073bc33650b76ad217dbcfd6f9bdd09b13ddb42600ebe072b3d622a1b7644167b35357197f42363434f9</t>
  </si>
  <si>
    <t>COLOMBIA MOVIL S.A. ESP</t>
  </si>
  <si>
    <t>TECNOTICS  SAS</t>
  </si>
  <si>
    <t>277e8890d3b1425a8d913f71b43a8e0785c5fd24c7c80c85e50fa6797180b61979362be93ae8015035ef5fe97a8d0ec5</t>
  </si>
  <si>
    <t>TECNOTICS SAS  TECNOTICS SAS</t>
  </si>
  <si>
    <t>6a005d5090c81b20183477e677aef8294cdd5af3bdc07c059163d9bb668ace362499a5e918ca7812f1a11a721434c7ad</t>
  </si>
  <si>
    <t>TECNOTICS   SAS</t>
  </si>
  <si>
    <t>2cb2bac2b28335a4bc7a246d9e2b00e3aeb2340c082226452f99aa7061857c71ac75c98c7e9040b277a81d26636c575e</t>
  </si>
  <si>
    <t>8a172384d943fb0d33d3fa87520a4751c3437673ab345908d3acf0091cfa95ee5cbdb73013499c5679012b9f8e859fa6</t>
  </si>
  <si>
    <t>DISTRITRINI S.A.S.</t>
  </si>
  <si>
    <t>f5f77d4ac7f0c7f64966ffdf96e444d8914e46c20d461975e20b4e616502fbe33434afef8f84f6b4a0d20af4bf5e0e90</t>
  </si>
  <si>
    <t>bfb6492b1b4dcfa1697749cfd7a4e98e7ac345596f7f4cb993566495e8ce4d0558f06e3b8f7b7ae5e649e3a0c93ee08f</t>
  </si>
  <si>
    <t>STEFANO ZINNO</t>
  </si>
  <si>
    <t>tecnotics S.A.S.</t>
  </si>
  <si>
    <t>c667311bba11f05ee0a408284e735fade9e833041d55eb2bce7eef4419c9fc195229683221f9027c81b5fe65d45a3888</t>
  </si>
  <si>
    <t>GRUPO LEDACOM SAS</t>
  </si>
  <si>
    <t>17af339e7b8e6d79d6ec114bc963c755a1696df827b77c87671d6b1fbdd1fe745ce97108e33af4d1db2f2c1c5de81517</t>
  </si>
  <si>
    <t>5cc10645d6fa08e426da11dd5ae7525a36fa5ef01e3a532966bdf03093318c88a6385b43842c73bf14ad5168af1c8fde</t>
  </si>
  <si>
    <t>IDT COLOMBIA SAS</t>
  </si>
  <si>
    <t>a4b89aef16f675b32b5b37561dd7e98e2799be236e8e588b48664298280a247a7bb4a7de6bf924da22c4786951db3b67</t>
  </si>
  <si>
    <t>c8928927314f4ab63f8d04b887e99be5a61b1f85212c8ba9c0d34a540553c516e5d4aeff2a42dcea04e36b9e981b1253</t>
  </si>
  <si>
    <t>8902454e8f65653647b70196e12a1c6c7f26dfd079d1b062d5f757acbc8c5de760eb478ddf8b9f8b8266431e6b840396</t>
  </si>
  <si>
    <t>936fbeea12c8b3d8db4cc8560cd8dc3af4babfa992f7d1406d03b7e136b025c9669e366ec68bf0846da96ba8197ba39d</t>
  </si>
  <si>
    <t>5d85a4d682574ddd2fccf652aa7bb7a72704e8dfeb6a70549f873e347973b58fe59b9447edd5748d4b19dee7a935bf87</t>
  </si>
  <si>
    <t>e902586e468724baa9edf3198828b5babda7c8fc21eb03e4ed0449b0bff2ccf437753d64e3fe2025737708816a967e57</t>
  </si>
  <si>
    <t>2ecb4b0dd903a151cb1d8f902887b62e5dd5702e7bb2d1c937d3eb2494872bc639a915c5cf8b9823951750d85d6ec6dc</t>
  </si>
  <si>
    <t>1ab8767e4d089fdfb38c23fc5cb39a184f0c6bd75d49c2999870943ff6d4666f634e74e97cc570ad72607859e2d03ebf</t>
  </si>
  <si>
    <t>96fbd8d6a63b72e65f74927a50984d8283be221b2fbbd25c319fb840cf9599770dcff690cd2e3c647c82a213a64591f1</t>
  </si>
  <si>
    <t>c259c6c915e70f1e1a6a4aca7e24eb5d1e8bf2c0da3b6819d0042501bd39298cc74d07b17bd50798fcee2ae4bba7e0b5</t>
  </si>
  <si>
    <t>92af283ab338e5556d13cf40b686a3ccd14a969be44081ed41b13b6de82d85cf03bd21b24d1657ffbbf6292af5ad20bf</t>
  </si>
  <si>
    <t>227f3a918fb5179ad66a30e28982e11cc6f4ecf3d0b4143c9980deda33fb2a5d731edcc09784aadcfea8738b5dd530af</t>
  </si>
  <si>
    <t>470073b8c574ed979561d7493287fe91515159c3a7428efd47d908ef38b46a50505b90401e4b793ceb1aba5826fedf6c</t>
  </si>
  <si>
    <t>c513083f3eabb714fe92a388926087f8cd0feb3c5ffef9425da00718eb112c310867d8ec33805b21f4c74deeaa6bbd44</t>
  </si>
  <si>
    <t>1d66fb937c515c7e7d4ff6b8fd4a1d1dd8b821dfa0c54eab3a325df0aad6c56924fc05183cb87aaa93b7016fe7565a0c</t>
  </si>
  <si>
    <t>SYSCOM COLOMBIA SAS</t>
  </si>
  <si>
    <t>d28ace13c4a419876f395a9a101ec107e45f67956668ce1a9665a47e04e5af4da2f245544f01c5799eccfb9f1ef7fef0</t>
  </si>
  <si>
    <t>e3105269fa29f28aa328a751b70a3eeae97ec53f91ba379a1a747a9d598c321775c30190b9a39a5f2bac1186d02630bc</t>
  </si>
  <si>
    <t>TIENDA MEDICA MEDELLIN SAS</t>
  </si>
  <si>
    <t>4760489a7589d74736840b2b3df02cbe4a952e2eb72ab66153bf7d89114cde3fba9e378ababb362d6b0113910fdfe124</t>
  </si>
  <si>
    <t>16bd46facaeb5418a2464550bc296ff0af541baa025c77de5ce87e1932d09b215b8882416dfd05007a45f85617c73970</t>
  </si>
  <si>
    <t>EPAYCO.COM S.A.S</t>
  </si>
  <si>
    <t>TECNOTISC SAS</t>
  </si>
  <si>
    <t>18a7aa7e12dca3113fa383cb6a13722c1414f9fb79f9c52236bf83398ef50608c6b35d2a6e36407d3638acacf934891e</t>
  </si>
  <si>
    <t>Grupo Control de Colombia S.A.S</t>
  </si>
  <si>
    <t>1691bb86ad7c40dec28cc6cbcf5676a4439c2c6ac4e19e3bd75ab86fdbf8be342c312ab38b5789855fbe95fba7a821ad</t>
  </si>
  <si>
    <t>SKY CORD S.A.S</t>
  </si>
  <si>
    <t>6d8a2001ad3ffe7f6228b9207fff991f01aa12bb76dcbb8bd644ba088c27539345aff9be44c67e0525ab4988bbd026ff</t>
  </si>
  <si>
    <t>0d4d2edc5dd48db52992a6361de6881c27c47da676f31c8032af1153abfc258e611739491263e405f7498626bce8c041</t>
  </si>
  <si>
    <t>90ed1b2adaef48716c4f3be5946c63162ca0b5ec484077b94814c93b4f90fd26b345627d48df1f453a59e3efc68c1d05</t>
  </si>
  <si>
    <t>f33d71968fa3b5e0bd4b52ef2838a2698ab87c56e1c2dd5eb34463920ecdb80d56e21959761a8c14728a3eaffa79a685</t>
  </si>
  <si>
    <t>e97b2622cf247aeb997f7ae817f354872d23666564a78ee718bbf5272c3a9035dde74f32b0e5aa21601ff90e83228df8</t>
  </si>
  <si>
    <t>9037cab86c844c2cf159c07723bf8efbdf2734f112aced6702905349d82882ab4f600a75f24d4da1e51cf3831957fa61</t>
  </si>
  <si>
    <t>c994bfd9927ab394e2343ebc2367f882916674edd14c9bb82f1e2b1780c54b041127289165952b1adff8ca1bfa657be7</t>
  </si>
  <si>
    <t>d812e3801c68f1f5630ec0d5820487cf4af75417d50efa9c60177143bd2bcbf41d5644266c695f1a9ef06d23d8df0992</t>
  </si>
  <si>
    <t>1647e4bed00eb05f04bc0cf236bc827697dca663b2cb13ebdb369978a481ffc34bf9847de10f01f692afcb043050eaa1</t>
  </si>
  <si>
    <t>5dc4f16893dcf903e0957949789752cf4ffa842d82d0c4eb50dbf1ee287dd9c75ed3f150a649711d1074f2359973c924</t>
  </si>
  <si>
    <t>a41198a53630897ff7bc481d2642cbd3212210998441d4f4f2e0c3898a955c86fbbdd7aff44fe05e554142eb52d798fa</t>
  </si>
  <si>
    <t>FRANCISCO MURILLO S.A.S.</t>
  </si>
  <si>
    <t>7d1d8210918fdaff3e839a75d4df02037e85d4a4f39f4517200846fd05d61f4a4d3b016e5758c27b33dc905a2ba5d8c2</t>
  </si>
  <si>
    <t>ILUMINACIONES ANTIOQUIA SAS</t>
  </si>
  <si>
    <t>26c7122f3f5128f21b819210525a384920961e6181bb13284a5b53a13a61e2cffaa28eadae7099db07337501c6ff4a21</t>
  </si>
  <si>
    <t>c2bfd1fbcafe97515ac8d69ddcd40f81e7548b190390b800cdf5cc277a747bc4d02ec0ac04b8e6e5d0b71d6438af9d92</t>
  </si>
  <si>
    <t>D4 FIT WEAR S.A.S</t>
  </si>
  <si>
    <t>Alejandro Martinez</t>
  </si>
  <si>
    <t>8d4bb90e1d62b4651db49bc3556cb8e2244febc1c3081be353cb71e7701cf27e4bfc3d2ff520407d9daf98b273af458a</t>
  </si>
  <si>
    <t>f905502b57abc4c0c8681fc0ab1b9c5dd83f16686bd75732ec28da6ac9fa119ed17191df208e7d393e4c01537d2abf31</t>
  </si>
  <si>
    <t>2d87371b5868f6b6f4c3c416998bbc7b02c452c89c2512da15af543f78dd04bca413fdc4b4c1a0448e7d9133315a6b5f</t>
  </si>
  <si>
    <t>KLEYMAN YONATHAN VERGARA GONZALEZ</t>
  </si>
  <si>
    <t>77f8307d65d58fc025c7d7078412753ebbf8bfd0415f7b8c7bfe8d8695834f54dbd06466c46b61fcc896f46608922b10</t>
  </si>
  <si>
    <t>fa4c3b1c02bb810aa695959c2ae952af7738f741d27bf7dcddc7944aef8812bb5deb0563864b993752b6195a8f971619</t>
  </si>
  <si>
    <t>4197b184ea544479bde5310cb35f641b4736843e70cbc531a9ee2bbc7bec76739c1e3ae275b68b128e95a00f4c1897d9</t>
  </si>
  <si>
    <t>5c13c11fac47264a5a538fb7231e31e0f7e3aceb1a099851ec9f660e0d96c6e2184d64959d5bca5cdd1687c32cbd9a81</t>
  </si>
  <si>
    <t>PAPELES Y TINTAS PUNTO CLAVE SAS</t>
  </si>
  <si>
    <t>f25fbb152f3badd5ce03e11c3bf451e39853ba5f9c1a1be013a7e93f330fb1ec8a0f35174d41a61a15400f9d8d199b9f</t>
  </si>
  <si>
    <t>GLOBAL-TEC S.A.S</t>
  </si>
  <si>
    <t>64d931e3c9e270e41c58c3e010ae04a40be0d05b90460cd060a195b2ef225360a76e84a45fd3c7cf540914c28378bede</t>
  </si>
  <si>
    <t>73deee88350617a3e3509d206a415cf0285d798b7415613771e10a92d68b829165ccdbcb2a95509d8c1e9c9dfc581b89</t>
  </si>
  <si>
    <t>2dc5fd2d1cdeee5ce9f6d4bc40578ac014551d62442c6986cccf62a934cf1e11ce09c92e9becf4c5ba0a3ad6e46df164</t>
  </si>
  <si>
    <t>ELECTROSERVIMOS S.A.</t>
  </si>
  <si>
    <t>f6110434af3a6cfc8006ada3f4a9f718add56e12ec089a1c8d54f038142865e9ffc8012beb5639b2651349aa0e266a46</t>
  </si>
  <si>
    <t>82acda9f3532a022d6ea2bf739a2687663b608fb89d77511261fe4d7a58eabba8f50001f0754d327222dff0323d78d8a</t>
  </si>
  <si>
    <t>DENC4196257</t>
  </si>
  <si>
    <t>d5fe946b4eaaa341eff94e7940aa59f3aa1e3bc38ede1786cd3320310e36295bcb0eef82130cc3e03aefbc2ccfc66249</t>
  </si>
  <si>
    <t>c29f9c3d738295b5248829de82576ce71e86d487bd65eeb7077934e108e15255ceb6d24b57021c76b93bc55858577e97</t>
  </si>
  <si>
    <t>988c958a2ebabc6ec63b27a927d5488cdb45e3a440472f1c654fc85420e9c1abec09e9b096e1416ad0f8c605fc4d7788</t>
  </si>
  <si>
    <t>JAL TECH SOLUCIONES S.A.S</t>
  </si>
  <si>
    <t>07a88b8e924f8e5b69bac9ced6d6e24a2217cd17e9c5a032b44677793412e4952d4d1d0c68730ce50b6ce62afef6e3ff</t>
  </si>
  <si>
    <t>SIGMAPLASTICOS MEDELLIN SAS</t>
  </si>
  <si>
    <t>f70049400f62db71ef0af0ffbb0a0ca6ddc3b13b9bbce9439da27821d128fee77b2623864466046fe675589338849b6d</t>
  </si>
  <si>
    <t>9c7bf991a2bb0b4e5a24c304102ae9fd0d17a4d9d995952ec65e357175b4b8c96d89e8a83d6c46c6c0d234e478d0da6d</t>
  </si>
  <si>
    <t>fae4a5fd29b95a1f2ed23ad55feb1532513dbb589ffa0ba9ddd11993b4d4a8f7c84f36c1af6a827cdf602d237e9c3f1f</t>
  </si>
  <si>
    <t>6b91e63dcecf4d650122a36b252aa0a5021f3ddb061e7f4ba7930edf1bdecd31acdd55d750be30e442017379633a57df</t>
  </si>
  <si>
    <t>07bcab9a62c333febecfa0f03ebb0b8ceddaeaeefadba82f330ed78f118c1a8ad31649933476047ab1e7c1675990da93</t>
  </si>
  <si>
    <t>D1 S A S</t>
  </si>
  <si>
    <t>Tecnotics sas</t>
  </si>
  <si>
    <t>24cabce0fdaf132d26d8b4a45b4a93bd4e900c1df2ceb59abd4770659ff0026e4595c67ab8f82cffb22c3eb3655f5015</t>
  </si>
  <si>
    <t>fbac05624022b61b88dda6e5b5e90502f1ad36369075aec59f14397db26f33a898a8b85f28c1f2e1d7b81e7335e75b93</t>
  </si>
  <si>
    <t>7d8c0079864b215c675ec3a83c397a01c4c9968bc03ab60931f5663eb8456502240ffa280c71979a937378689c659c39</t>
  </si>
  <si>
    <t>e9225227be19fb9411a653c1e3619137035ab6a32edc310f391bf7a72a4669f045f6fdc5bb92c6b59c0738de0c255943</t>
  </si>
  <si>
    <t>e0646912f0699ebf8f98f2338f4a303464ed677cd2063f56d829492fa4e6b70dc6b4fa54f6128d0cb8163a8ec943e35b</t>
  </si>
  <si>
    <t>78d823d5851ec31bc7e37ce20225866127c2dc5e87fafdd3ecb2f3f1b7f36b8dca65a209ca06084da2b5e3a82bb57042</t>
  </si>
  <si>
    <t>03f820e3f02746b026fd344a3e3220749df12f746dd2ad8efad3a8b0bc5411db6a07f8aa316b8a798b89ddba13682332</t>
  </si>
  <si>
    <t>MAKRO SUPERMAYORISTA S.A.S</t>
  </si>
  <si>
    <t>TECNOTICS SAS.</t>
  </si>
  <si>
    <t>a435837eaea3cb2162860409bd4f8d341e93ca134a10f8a1f3af7a048d9b8fbe022e9a2f1cb16346d3f25640d0f00738</t>
  </si>
  <si>
    <t>6d6f5b976ad5f5998fbad7aeae7418a91e68a4726120e9baa570ee03e9c33125a8a8b5a43f67977f2ae88612bc2bcbb2</t>
  </si>
  <si>
    <t>b4803fe7ca92a8659f8a8d9f4f52b32e1ffce30a14551d960b2e657b2dc544e4f719c9a76693bb1ac2c9fad8849485b6</t>
  </si>
  <si>
    <t>JOSE ANGEL LOPEZ VILLA</t>
  </si>
  <si>
    <t>fa2412ce2f7cbdb5bd8addf53778e4b008de298640d4051d5dbe9ffb3aaf6aedc8e560ced82fbf5ec488d68251da575a</t>
  </si>
  <si>
    <t>71ae7d0d62146ef47073be5fccc78f4b841d9258677de583fe2929f0168535b58bb9b022e986c3fd329c992b546d9441</t>
  </si>
  <si>
    <t>GRUPO EDS AUTOGAS S.A.S</t>
  </si>
  <si>
    <t>7fb0fcdee64994a17f1ddaaa5473a11be8c7667a2480b3f2a9a00ec4b00964c66e10c15b4dc7de005bdea8e04e1072f0</t>
  </si>
  <si>
    <t>45c8dc7e32eb7b3a34d50637d0a691a89b8e0996af84707587a5cc4cc90abe7578df561ae25fdd676017875ce67d5019</t>
  </si>
  <si>
    <t>8e1deff359effb3e3184d48f4e26ee10780650fb5200c6a0693ef1b682abb6b2f92c2ab9ee9d8cd97d72f16b88c31613</t>
  </si>
  <si>
    <t>94d58ba9393dbd2a063b366e9a5e46a4c1bb81c3e5bc8fa46015c60bd749c2d8daf98b4659028b97a70b45daeb1a2adc</t>
  </si>
  <si>
    <t>e151a24a0dadd3c2388e8701f55f98d0868926830e1c06d1982345f63d1fb008ffa12352df3ac0ddd94f47a2f753b8a4</t>
  </si>
  <si>
    <t>cd16537f96b6d6561536adc5f26e5bba1905b63098e15f59bd2c7aeec89759eceeaf5a3b1cb89e41f523a70777aa651d</t>
  </si>
  <si>
    <t>006eb63072755ce169153f839b0ff4c539ec91d8d779e9901939ff12f9da4768fac7524715063a94bf44985433e63d05</t>
  </si>
  <si>
    <t>COMERCIALIZADORA MINIDELICIAS S.A.S.</t>
  </si>
  <si>
    <t>64d364a4fbf85771e860d9504d1e993d893dc1221d6add65d1667574b252c2e440b24f7aa0e1b1baf49746f244ed0e07</t>
  </si>
  <si>
    <t>232dfeab2126a923acced1199a64dd4c9be3643d718d3f5e7c9d3babb1c70a3c915e6975ef08635df08d3675ce9b4d9e</t>
  </si>
  <si>
    <t>f8327e619e1e38669f87ed493a7582c9815636d6edfc012737272913a96f3865b1ff02ca3b86d2e7c468482dca55ef4e</t>
  </si>
  <si>
    <t>31c8116a4e02209f9fb3cb2bb2b61e893814ae7303de8449727916b03225d0a9f692220436221acc99a001888009409f</t>
  </si>
  <si>
    <t>08aebcd36edd0f1861cdb8d520ff578b519b54f03a258a4b94c5b1533e0232d977ee19bda47686dd673fd54a40a986f0</t>
  </si>
  <si>
    <t>494000b5a54aca7d251558633f5a5f5a44b27a0b49250d6b6f60c608d4aba134b14328184670095287f4d757fb874c7a</t>
  </si>
  <si>
    <t>8035035493f497c0fa88b22f9d9154deaee5ab58ffb7a5ec3fedb4ae105213fcb2d96a8e49547e1ac175b472426df1fd</t>
  </si>
  <si>
    <t>8708fd6602ce70a6bd1aa4e419d4e7a3ed1152aa23414e5ae6ed67a3ab362cbb08fe7bf08c7e03c45bd14f2bd427e0ba</t>
  </si>
  <si>
    <t>0d0108815472f245f2c4433a896cc5b5324e8c7276bbf2002ddee030d72be67b6c6ca58cade9ecfc012520df28ea0e00</t>
  </si>
  <si>
    <t>8ec6d1204928f64b2a28948230a339e02bc1b953e0ce95ef4a119067a61e17219776d46ce7e42c4092c6ce43fcd847bc</t>
  </si>
  <si>
    <t>333483f5d046b4a5796c17b4d733036d1ff61942b099ee135e727abbb1989caaecbe9842be19f56d89eb9f1ad140ae06</t>
  </si>
  <si>
    <t>44661d96dd13f06547af312c48b4dd0aa052f468b13dc1a4482541fa5c8897c087eb38dd69dceade16e89e2e8dfa28a3</t>
  </si>
  <si>
    <t>22f48b845f9eb9a38ea381ed19937d58019950f8bafe092529ece1e70c0fe00c3d146d4f42272216b96094774c4b0b2a</t>
  </si>
  <si>
    <t>d9d70cf9340ddad8a078c802e3a67266a98d710d8912737a942b5aaec265752238f930162e43ddb6d314dbf95ef692ee</t>
  </si>
  <si>
    <t>68811b1d4dcc48ecad4b7712635ffac86f8b724ff28748970d7c8408775772feda4af6df22ea7289628d2c4aede74d48</t>
  </si>
  <si>
    <t>dbfdaee988287a78a256ab606da7bae3f3c304d3a699eae7769659b6e862b83e67b79b46157e484ec4e91f30d8ec37c7</t>
  </si>
  <si>
    <t>c218b85fd0c8bc35a9f24f2d423be3a09024fd251bc70b6b9d9391d71e15491e9302db4b8f6b22d3b57eefda71e28c5a</t>
  </si>
  <si>
    <t>cf8968d670273eefe8378dc351d6fa112d929c38c8b1ec42e69c717d4038b4ce6248d92be27be099e7e6b20cf7f06659</t>
  </si>
  <si>
    <t>SIMBA SOFTWARE  SAS</t>
  </si>
  <si>
    <t>8b93ab6848f164898e6e858e3e118b82aa120e09364063a7ece86dfec9f16e551be163df34e94cf3dcd7fe0a7f250ee2</t>
  </si>
  <si>
    <t>23ab676d89e2ba7d0f12cd96a215d0fc16b85cb5c00baab7bc1096cc2a55a7edb382b3262a18b9b8c6426e8cfad9f396</t>
  </si>
  <si>
    <t>7dd5854be8602227734201ea77e2c84e786d092649985a718e59ea04e56ea92178dd90f5b0279082f0bf5bd5cf24d5ca</t>
  </si>
  <si>
    <t>8ffd162d480e85bed2b6c3477a4fe5c3e31c2b4809fa870b6507f30c606754f4d3dcf2078736f4c2727f8cbe58e13e56</t>
  </si>
  <si>
    <t>205d7d7ea3d9612ea483d23cc90f7256a3e709153d95fc901ad22e7e19ec32e12f39066ca6e80f56e8bc4e96e001e2ec</t>
  </si>
  <si>
    <t>54691fda4bbc4d10801f0ed82f390260b565180a9f5baa2776d4287ab215fb3dbd496d47af5db7331b7101fabd31ce86</t>
  </si>
  <si>
    <t>071853bfc8be0eaecee9ad06ae955367ccb571e5d4221758f7f3465ede90ce84a74f0e84cf9b77925b3dcf8dd897b38d</t>
  </si>
  <si>
    <t>TORTAS Y TORTAS S.A.</t>
  </si>
  <si>
    <t>170caddf0ae35966c87939370589cb577cec651d307c8fc8ef39bf64ad5f277673b27f95ce4534b3e53e06f7900f72bc</t>
  </si>
  <si>
    <t>INTERNATIONAL WINGS MEDELLIN S.A.</t>
  </si>
  <si>
    <t>60ede7569b2aaf475eaf6d1ddb1838ddcceb1387401e4d2c93ce8ed13e4217c2ab8168380aa057c6363487e97db1946d</t>
  </si>
  <si>
    <t>9c8cad55e058b9cd7a8ed3cbf5c14367a17f1dd0601076b5a5cbfc3fa3a6614e0adb3f20bafed16465e9184bb3b3f686</t>
  </si>
  <si>
    <t>523ed35bbc6f0070b4c34f5425bfaec8bb097e1adfa495e9a103b43b3e45fa1de1492e5603ff0f5b84d013564e19d1f6</t>
  </si>
  <si>
    <t>af834c1b94ff9c6c1ed3754e4c65daeefcebb31867b61f852f2eb8420129d155689130280f316fb64b96628259790c18</t>
  </si>
  <si>
    <t>985a57c27c523e34f9312b7953fcaf32503f0a2f956390ae98d0d48241e39fa9807d32e932cb14bf7bf17c0d506da917</t>
  </si>
  <si>
    <t>ebe9adb38b5f5f9da5b1af67e9ea5ca24d3015e8051c72e6e6403648454cb7c5ad4060418c8025ddacdca145dd35dbbe</t>
  </si>
  <si>
    <t>e791c9be299075140fcc17b671a020c4b63476ba2c108c9914a5a8e01a013b420c23b224ff782795386806d45223c2cb</t>
  </si>
  <si>
    <t>0322c9bfbb545b9d309bf463675b4257528d4dbffef22876484540f7672e818a171ebc03ae4685a12560512e29ceec15</t>
  </si>
  <si>
    <t>a212d75230b60eb15ebfaee399e337b4f46d883ee32ecb80fe4519cbf2bd01454f16941ff85e4a04443653d1ce93be92</t>
  </si>
  <si>
    <t>ab24dead9f22bc229387331b0d680b771d5524da1a80fef1fab44b35e395b4c41238ca49a6bbef7d9138c7e36dfb4b45</t>
  </si>
  <si>
    <t>36ca5ce079678dd3ffd0aadc9104469d34fe04d0be41eaa5827631ac6327e2e01595e882060ab983cd60e67dc8311e41</t>
  </si>
  <si>
    <t>88e2e00d631f5ee96b2fe0572ec3e925361d73ed0644e595de5526b10a32ea0065f3f688944db3bf182484bfa1f23aa0</t>
  </si>
  <si>
    <t>028995c79d1d734c21bd2df0ff3214d6c02249d98e6a32ae31feae947c79914411d65d983ea708cf13c418bce2cd49fd</t>
  </si>
  <si>
    <t>3881ccb1be4436df444abe65316ac66323b17abc7f873e1d30f0a474d3b4c69d2278202eca8464a1c28c06ec42e01fd5</t>
  </si>
  <si>
    <t>CLOVER COMPANY S.A.S</t>
  </si>
  <si>
    <t>393e8145057659ac157fea641bf981807fc739cdb447916419979ada7f8da16a4ad1b5e14a8f4eeb3fa6d6a575b3e147</t>
  </si>
  <si>
    <t>ARBELAEZ GIRALDO GLORIA CRISTINA</t>
  </si>
  <si>
    <t>64147673d9d167d6af62447eadc2a2e5816eca53fb00de5102135d91871287ca376d4a5cbc79d8a0d5b1e1a5c2a718a9</t>
  </si>
  <si>
    <t>ENCHAPES Y APLIQUES S.A.</t>
  </si>
  <si>
    <t>1289de22339ca00dbdcd3252ee9fcb71cb368982c33084fe734331badfac93d11846a96d8a1ea8a2d42eddae91785506</t>
  </si>
  <si>
    <t>8efa2999ff2f6a441e03336181fc96bc5b9099c15b4c0ce2cce886479213842182fd18a4258cf94a2598b399efa8de63</t>
  </si>
  <si>
    <t>157aa67f3d7eafa4eb6002c3519c64cf478c84222d0b5b9eb6e2eeddebacd78764a13533ffc630c237cb32a142fb7c93</t>
  </si>
  <si>
    <t>7f1b937b97838403fdfeb8c12229e389e6694e3ad42e1f86183369e06c45c467688be3fea6b34353f7ba79b3b65412b4</t>
  </si>
  <si>
    <t>2daa2b4449dc6975f2191669d9209ad3f323b12045cff8b649ff7a05362decc4ee98b71afc15cdbdbd522dbf0a83f06d</t>
  </si>
  <si>
    <t>099d08bc52a49bc26552e6ad89934b70ebcc101d916ce23ebbf567c24ef1a3d24d1f21fdc1ccc3922355eb9bc49f9cc0</t>
  </si>
  <si>
    <t>412e2b0213f5f0b22892a631bc05c97a522ab278aac57527e025f18df1e49a7e8c496b6ad829d23b8363e638db3405e7</t>
  </si>
  <si>
    <t>5c89556763543b339a65edb47d4a003667d62265546b18182e22c9c9e8743ba3a5b9edd125827faebb36ce90874522f0</t>
  </si>
  <si>
    <t>5be092d661d7c1b9270f6ccfd22a357d1d4cb2491bc2085248687df35ab51690014aa5077965a2b8c6dbc121a519bd54</t>
  </si>
  <si>
    <t>117c2c6be9b5c8627178f34833b5fb627e0cf2fea697563a4e6d3d9b58675185a62de56be995f08e88a336aa7fc60195</t>
  </si>
  <si>
    <t>c3907feaaba6e988e28fbb34792f16f9e0e79f298b5a61e3a62bdb7739be0dc3ac76fbe6278e6800b42e3f19644196ab</t>
  </si>
  <si>
    <t>482c215fbfa315caeae5096baaed2507a39116fab2379f0485e7ce5da35d3584c8fe2d8495a81b281efd3bc38f0aa216</t>
  </si>
  <si>
    <t>b10c421de030c5e36d9a66227928c7bde2dc16719cb06d745c0ee807f1cf462ea6a850a8520c7634fe2e5f4d292179e3</t>
  </si>
  <si>
    <t>859a8155994b9b36080659f761d7e66e31ee308e4523c82d977053a0f390a67d1f219e09b8cabca98a327c4d0f993b94</t>
  </si>
  <si>
    <t>e2c4fade50840b4b563281e75517f35b1a836fbbacd0f0174b184f7c815f00417a51005fe42891e3574cd99d36f4010e</t>
  </si>
  <si>
    <t>cad352177688cb937c05d190e7674ca8e2203de5503d582fd1a2f008e4e2b3a7156d8065abfed598020d5f65d5d156eb</t>
  </si>
  <si>
    <t>700078966de8a4fc7c944c28bbca68cb76b414c31e6904d0b4e782e16c07de35247fb597028f1c90eed18038885028b1</t>
  </si>
  <si>
    <t>d0376be9ad69f9791ece6a4824b54362c7c22091c57bedca1597a86d1b652501c2952cb97928e9eadcb5b94685171ea5</t>
  </si>
  <si>
    <t>6d2eda1702b79223dafec46dd0e718c25e498b1b7df82a7d3e1e5a3235dde0faf15aec38545ec985e62bad55f3161110</t>
  </si>
  <si>
    <t>b39ab36f460577423f0fbdba35b115ee374f4a842793f91da195af82fc81bc8566fb32ff56ece6c0dbad8c84d588b167</t>
  </si>
  <si>
    <t>1422ad05481df1f2c6c1255614d5f10fc767745b0f1f703199e82cf1fb6785bcbe20a0d986a34a7e4076e825678d92c7</t>
  </si>
  <si>
    <t>FCE COLOMBIA S A S</t>
  </si>
  <si>
    <t>162636befa04b2b1e00f85cb60746ab4b1204913c3cf11bfcf476c9c3f35c4cf7c5fed9a7c557a820dec8b3ae6bee059</t>
  </si>
  <si>
    <t>990e606308a8e9359079438d2633bd0206dfa8f8bad48cabef73e0efa93c713be17a63fbf063f1a252ba4beeaa7d1851</t>
  </si>
  <si>
    <t>cb62b7c5e35c63e5cc2eaf1bf6b8c2b1e561b4398d57ef9899760bf2df14f1e14d7ccfc47f29d774dd4aaf9d4be82776</t>
  </si>
  <si>
    <t>VARGAS MIRANDA LUIS FERNANDO</t>
  </si>
  <si>
    <t>d2dd7430c07f0e09608852a593c929895ab59d1e9c08b482060ed5f4bdd80c2b58a26fe6b49319570c7faab082d0ed9d</t>
  </si>
  <si>
    <t>8e6ac43f1190b051e1834e99cc08605fd3cce2b4cf81c2795f575d87f00b2f2d0c5b5514237579dbd212bbdd8b894a10</t>
  </si>
  <si>
    <t>6ba52bf199db3cefcdd35a76c9a632e9f7f05999550ad1cb17ea306f6b8aaf8e95176989677993e7f6de8a411eed9e16</t>
  </si>
  <si>
    <t>533e4da6fb19cda5b8481fbd9f3d429dfba910f678416ace6ce1c411dd0517853dfb84a707103bd291c0c50d33765774</t>
  </si>
  <si>
    <t>6f4cc8b8756caec1729a6b9c19706c252db362fe2015d1cf3e4418f81c71999ccf09d69777085faa254a81cb49603162</t>
  </si>
  <si>
    <t>b9c5adbe367aa907739cb5279067070a8a13861dc88eeb71c79ceb709b4b24836a11e2eef926e12ba8559a00cb7e9bd0</t>
  </si>
  <si>
    <t>c70ae61d749217d33e71d4988b0a3537a936095c0dc04646948dc5eff6fa04d36ce3d22ef4a565f355d6f997840560e1</t>
  </si>
  <si>
    <t>34ca0ef1c7137a8eadf7735f165874cf4f775b84dc8f7d6467ef5a32325521f56ccfde685c858299c896888f768ecb63</t>
  </si>
  <si>
    <t>a5b847dd199b3f47cbb6cf3ff412f6b4a764ff2f2e0ea8766f8d6b8bc31ac2475e15bc53c8d744e9711c4da94d8c32b6</t>
  </si>
  <si>
    <t>6d13df1c538b7817d89a671e9af1d23f39d9e8195f992689fed095a9e0e63da98cbd7d0020f129e38f9b56b5281c7b60</t>
  </si>
  <si>
    <t>7e11709df2ab647fdb8be1c7cd9c54b608c2e57bdcad895aa69b8c720f0c2fc94296feb65ed23e16b7649b0483827c86</t>
  </si>
  <si>
    <t>e2b97791fbcba09f6dc63e6a94415301e3f7f89291b0103cb7340fdeae1b12c25115ea20bd2a338130f9e1def92e02cb</t>
  </si>
  <si>
    <t>47cf9be1bab691dfbf1c6aa1b934c1ba724aa089399e2f55b11dc7abacd9ca0934c8cee7b9f83fd1a54fd064a1520337</t>
  </si>
  <si>
    <t>97eae9a24e0ca2f61f5a13b11453363df3561ce7a921637590cb8b2b51b4af5192c89108fb0b1c36495fe1f83202ab66</t>
  </si>
  <si>
    <t>COPYVISION S.A.S.</t>
  </si>
  <si>
    <t>6a729cb6e3702373ce60c29bc2437571f0f332792d7bde8b5c4b3f2d691af19a751a98020e809718e8496b15392f0718</t>
  </si>
  <si>
    <t>f7c09035148b5bbfd8ce74d6bd72f4b3035399e2ea6f62833e7b24c7a24111d5d27c04919df892ef06c9abfb1f33a185</t>
  </si>
  <si>
    <t>fdf289b89524058995dbf9afb7ae0700f2844fffd3fdc01b33d74440718d749053d2c6e3ff5d5ff7bd6ec0d18ef128c6</t>
  </si>
  <si>
    <t>eb4bd7a00b78fb47ae0b4dc1caa444b4cae9776d750518bd9cc07f5666bd79180d38af8ba50baac806fc8fd880c96826</t>
  </si>
  <si>
    <t>8adb0908c43168fdd42f3deb9125ac23b7691f0cdc16cb44ed4429e659e79f112751a5711701922248b3d29f0621989a</t>
  </si>
  <si>
    <t>4f5f8bfaddfee96b0ced87526dff4d3032a91da42569ec3c4e3b21378a921f6653ed324895ef189cb79ed6896c31cb90</t>
  </si>
  <si>
    <t>846cd36e5379807a682b29d89141108a072a2f0165199d7c52aec4c0db8281dd827487c3c041231ea52826e383056b6e</t>
  </si>
  <si>
    <t>39db4c51b45bd9109455eaf8fec7b9ab1975a9f7b78e90a6df2612b96af6379bb92bdf664fa87ed193f09a263cdbee97</t>
  </si>
  <si>
    <t>983e55aaec422914dace6e67b654391c5f422c600aa2626a521dc3f8c284b66cd7806d0cdc90024de575b522a80e1f30</t>
  </si>
  <si>
    <t>09204886cb0d94788b8ca66226dc3944544a33e0bab175efcb7a7ab33454df6c5d4045ea959d7729cefccc4b4c75294d</t>
  </si>
  <si>
    <t>0512c9ebf1715ee612ecc2d08caee9338fa561e6e165331ba40de31a5f17f25424e6ebae7c07f92a9ee2fd9da39ba79b</t>
  </si>
  <si>
    <t>9f2825136c93b25ada363cabe46131cace8d96e614a33857e3d5e5a61c94aa3cfb8667d5cd51a5d2f16ca8134b37e64d</t>
  </si>
  <si>
    <t>b6fb58808a0e0f8c07226d47ee2729ff264c00fbf6c9d2dc5e2631519a984bb27f34d920acab66a3e9da4a16998a6b5e</t>
  </si>
  <si>
    <t>fc0547782270a623dc43fb536121afd5c282fe87f047e9a89d8302854e4189af8bbbfadfc77dc79a484f139f03d4097a</t>
  </si>
  <si>
    <t>d529bcff8b608e08903cf09e2220879ec48bc91eaed4e0f67a1620cbb7e224f91edbac661777835b65f078983b0db7cc</t>
  </si>
  <si>
    <t>9366d727f649d8318f610d2dea7c86f4b650430d67c4f982201e6044084aa8a5177d6f257e213d7d492ec2484cb7b822</t>
  </si>
  <si>
    <t>300e25b765cf2ecb1b7a1bba31be3e77bbdbbbe28d4a79187fd905f22ca86fcef3cbb1ea6ba37229013e5e71cc2ac0da</t>
  </si>
  <si>
    <t>2231613ccf3b9032343ec455cc0061e2cd8aa326470cadcb7e5d66f320649ee3b37d511b29bc169fba7cd8d9ff3cf56d</t>
  </si>
  <si>
    <t>035f0e0e5dbcbbb4a080e493931426fe1465ba7a3de5e720f5450ad2407b4f81145baecfc82cc00066adf3cabeb408cf</t>
  </si>
  <si>
    <t>fadb6ad1f10198dbc810b41656e281175e9e508828e02efc19449c71e9ab15b1ff90eea70aeef3bd6567e037d7b03458</t>
  </si>
  <si>
    <t>c540f0e6464dbeaf987ab3e7517affce5d18a66b769344b41e2dc36c16e80cc473d58c0186f3d0250c3669fcb4402d2d</t>
  </si>
  <si>
    <t>22d33621e8c521035fad28ef36539d93a698e6d337d860a463bb68307b085a399be8cae2e28cbe50222f7113004b1a3a</t>
  </si>
  <si>
    <t>f31f5851c18ca2e54223e02013f4e3da167253f85d07c8ad1b41f62e9b69cda99f6fa18414055f723e1a7477344e82b2</t>
  </si>
  <si>
    <t>9612690f3fa76c47da047de753dc81393fcabc132c4f909f75b9061f9b56f9e5c04232ebdabef8172a984ef4c68c4bed</t>
  </si>
  <si>
    <t>481e2482871549664b5754614e22ce257de807fd58adba0cee2b5f0169f873c8a03f798903698b521c577d73f8d32c58</t>
  </si>
  <si>
    <t>d8f35627bb6ee3d19ff80e8c183f8aa5e8421461cedcf733e6f9d8c640b13898d31a7bcaabebaf7594c4de278881fb7c</t>
  </si>
  <si>
    <t>2d72770c4cfd93e24f6772fa3010d0c81c0b1f688a7a9e817a3546df990d61ca73757d55dbf48cba4a720247f9e4f397</t>
  </si>
  <si>
    <t>f27c03494e1e61a4c5c681aabeeec874b414246f80fc14b42518308caa1cf39647e51aa89f7c595ca89ae9666fd5dee4</t>
  </si>
  <si>
    <t>181cc80570eaec3b8ab0bfa414e15d9d216ff7791ac2c803d61dcd537260145b1abf2e3a0951a0797ca0ff0867acf5a4</t>
  </si>
  <si>
    <t>8c504421920f6214cc2ff3da7af741d84811a2433f3aed3443ee5abafcec7bb20bbbf392942145d10cd187e90a487b85</t>
  </si>
  <si>
    <t>8dba763dbcc2eef2949a391a1df43ebcdfe48cadfa73eac349f4bae83358f53ebd4587bf32f9ce4a977ea6e549978de7</t>
  </si>
  <si>
    <t>0fe560547a02b9cd82def1e6a0e39548128b7c1823c761dfa561fa688490bcff732b825cae9d2b08ad4293eebf448269</t>
  </si>
  <si>
    <t>923cf019e3bbf21fa14d42990384385e085bd8ec2188079d709264eafd9b64d9363e613c08a36327e9fa10c5ca27d0cb</t>
  </si>
  <si>
    <t>491cbc9021970ab497e1c84776e3f2edc45ebe518b80fcbfa858be0117ba6205be3aa1de2009d3a94a7c769c78fa1f88</t>
  </si>
  <si>
    <t>Corporación de fomento asistencial del Hospital Universitario San Vicente de Paúl</t>
  </si>
  <si>
    <t>5683f5b2b5acb3dd2c9e43635a333df624d8a13983b8a9a1991883260a0c2b7be668bf923da2c04def465100c24ac6f3</t>
  </si>
  <si>
    <t>3d00e9004853e9604c764ae2a020bb63a28720f00bd58fe82ad9dfcbfa0eb12709383ae6c25281d0f9fb6dfbe810b9a7</t>
  </si>
  <si>
    <t>5ed30a27915f0630e9ab62de283e687ac31eea50f4d166632a01367c8bb3b155d511a241c60e063b619ee3d6179baab1</t>
  </si>
  <si>
    <t>e5a575fe81532203707345cf3746195d5a6b82749107fe828ba893d5a1dbf8cd993ca4487a736946f263a2ce4a341396</t>
  </si>
  <si>
    <t>7846186270ea4683ead352658398a334dd7d2e9d0c759a47ef2af27f7b6afc929864c5a80aaa903cbfa1f788f90b6fc9</t>
  </si>
  <si>
    <t>62e19d3a53036d65bd385023cffa1576918ae949a284e2fa3e2210c42076d3607dce7db8cc65ffe764104fc439653822</t>
  </si>
  <si>
    <t>aa00329f21fcab6122ef878b5b73994d98e6faef1defd374cee55c3477a553499abedb4de915a2c5367d25a05c48be44</t>
  </si>
  <si>
    <t>TYU IMPORTACIONES S.A.</t>
  </si>
  <si>
    <t>e502112914554eeec3f236d01a0e3170a2c3a84697e57f8af42b5e6a15287fccacfb25c7b429f4e1a0ae85b3611638c2</t>
  </si>
  <si>
    <t>INTER RAPIDISIMO S.A</t>
  </si>
  <si>
    <t>TECNOTICS S A S</t>
  </si>
  <si>
    <t>6077d6b652d6c4383062d9b5631b2691d06ea0625ff9254904406eb1a5d36b0e25c707ed896ba4c37bbeb77750926349</t>
  </si>
  <si>
    <t>5c7a1b4844221f90b7d0084e584fe0528d6634a189846d229f1d7a337179ca49a67da6d63aa8136d12e8affb484a2501</t>
  </si>
  <si>
    <t>0a11b43603ade42c82fdd87d648b0ed70471bcecb77e4532a38ac13bf497322fcdaec01289ead4bf1642fb4145271236</t>
  </si>
  <si>
    <t>ceb2a335c6b791cafca1c715fe328debcd47f6519cdc22e6e3f5cbd9d841ca7fec32d32e66b05538de28f98a684292f5</t>
  </si>
  <si>
    <t>191f502f56c8337819a39d421990657e75c899db095ee7a2433ad1282681b11ee024204258492141c63526307f1eb718</t>
  </si>
  <si>
    <t>d35583e4ab023eb4ed5d7a588c0c70b65ed401cb9b6094e0704d4a105ddd505a52f0ad849b4190e4519c69fc278a0511</t>
  </si>
  <si>
    <t>9567080276254f32229ea81f29ebb20f17f8734af7413c8f1cad7052c54201f3a1221ff222b76a2cd0142d62c92dc13c</t>
  </si>
  <si>
    <t>ddba709f908e2c54e6d623fbf6a716f42f4f4e262b3f633abfb9bc465c9985c68f7e7feded2faa63d5ea5752c600ccc3</t>
  </si>
  <si>
    <t>a922100c8651da2d0776659fb74652807af3e82eff64c6e4b1c4ef2fbb32986ffff2deba2c48e7ec91107108ff18bce1</t>
  </si>
  <si>
    <t>ca5cd058587d9f4bbb6896284d0cb1c0dc78755f4858ddc719f6d428693a271c372dab3f370d2a88eaa4f20a027825eb</t>
  </si>
  <si>
    <t>CAMARA DE COMERCIO DE MEDELLIN PARA ANTIOQUIA</t>
  </si>
  <si>
    <t>d159b7fa59b465f4df572636b8f47d56d8099176229ec8680b3980be09d7b194fe04c85b73286cdaddad233c8edded2d</t>
  </si>
  <si>
    <t>f4f75341eda8c09faa2fea9c2d33e9a37e6cf5a332e60f3c630075bdc9e52020931962df99d4d6b7bfbada843f79e611</t>
  </si>
  <si>
    <t>ba425e303477ee192016715367d32a8a2c3286f8e6a4dbf469149e03619ac6161ad881eb23de76daf8939e6c356ac376</t>
  </si>
  <si>
    <t>89b39289c67be3e4f446d7bb27a9704702f20fe0d6499a411bad8f30a898f11b86dc664b4ece388399189e687d9de834</t>
  </si>
  <si>
    <t>65686902e59975c5e2f928ce9ebdf8c8dd76820a1b100a887415ae2f41db5b71190a14236879cedf86cdecadc3d266dd</t>
  </si>
  <si>
    <t>70263731b33dee4a420c94cfa99895354e1b656db62625be4616df039ba16ba1caa70e8310b108959f958aad55e30985</t>
  </si>
  <si>
    <t>6f9a2112ddf231c733ca7270e481e84a32f1c4ed59f24e4c461f65bae820f7f126ea6633233dc8d73b9749db7ae599ea</t>
  </si>
  <si>
    <t>2c4d788f70dfc5877e1abddfcadf77c1349ebce1dfa21f804a2e3d8a95e5cb3a9201b1e8cd2e7b2f283981b8cb1a4213</t>
  </si>
  <si>
    <t>858e9b3c09b0d0fe50269062f793c24e19a12f87111ea3d07cc0ac4aa95d5e9f3105cbb74bf385c2270fde1d27c5df97</t>
  </si>
  <si>
    <t>032a520251e0d803bc1582963c42cebd5e621023ca87cc5c65908d0d2d5ddb4f334a7e1401c03ae824024e2c2fa1f947</t>
  </si>
  <si>
    <t>84aae069b88681214d0cbb308ae3bd5144aa7005ec1aff084f67e2a55c9d4fb1bce580fef1a6a7bce62db0a5306f2578</t>
  </si>
  <si>
    <t>1fa1fa9086cd69769627c3db8cb707b194e39ab8b51b5d24ec744801a11b3250805d647be17d42f03c08544afc40c075</t>
  </si>
  <si>
    <t>f7f2febfd91693b2874b36a758d5970068dfc92725c3493ce893c4d69396b11e31f7a92891b521d20f58a0398c9cef8e</t>
  </si>
  <si>
    <t>7ac07863d10c743a66879e8049988e9c34a21a95556ba5d6b3d4835e43d28089c7f492221e15bfb3623085ac490cad12</t>
  </si>
  <si>
    <t>057a5a69f33eeab605b358d99f74834d33f9c7c6ae055e410835a520efefa62bb6cfdb7f27b74e11b19966f62bad088c</t>
  </si>
  <si>
    <t>72e33582a0d6c337a8b57c56ab4219348af925c8294a14d6671c7174420bb73b3864efeeca6d3b22f20c29fa24b09cac</t>
  </si>
  <si>
    <t>bc6d17c2e8332a939bffc90cab62d03c330a664a5e29abab50c328211ad79fb97a78fc19a0a5da6cb2d4ee368477da11</t>
  </si>
  <si>
    <t>58d58082b64a608b3b62b0d2e956999988af30bf3022abcf9ae3e4d7a9dab83ed34c2987eaabd37d6766360f61c56b6f</t>
  </si>
  <si>
    <t>e39ee8b77f8b5fb34cd701d5899cf3e71902665894319cfb1232f28fd63831f1240360f9a4d56e6927fab53c224ee6dd</t>
  </si>
  <si>
    <t>454337d13639cf7cee3142e9bf7fae67eb0fdec7ff0d7d176d0725846dcb754d30fc8a8d3c7a8d49a8667117359e4c9a</t>
  </si>
  <si>
    <t>128d9bc878b8d2c4239a8789eda80bfa87611dc25a200696154d1cd221a72c720238d50223a07987333075b92b77f956</t>
  </si>
  <si>
    <t>ec8ce1b96bd83df1950d382bdad1693a61b93ea4ad75527efd0e35fbd30bd479a4b1e9d71f7d8f0d785dee44288f5977</t>
  </si>
  <si>
    <t>d02d65651377068cf0204e0d294d14b8d359a3133656773bcf775c8889c1292b1c1965de9a15d5b1d58d17eadd263e26</t>
  </si>
  <si>
    <t>195e55f7a33927bba636dde726edef4348c6deedea2d50e075ecea0572a64585e686de2ac5e715e718e3c46f751ba3a4</t>
  </si>
  <si>
    <t>9c1aa3fb97264c8274ff1e3fbfcce65fbfea7484c716d27325d477bdc34c80859f4625e233f40c7eeae8f6fa7d639140</t>
  </si>
  <si>
    <t>863a6f895cde40fd23896952a8f36835dd6b0d2faa8b2c3fcbf248494c7ad1580b7fc7352e79abe9ddd5a44900aa1301</t>
  </si>
  <si>
    <t>6126c60c776d417e583a3b35cbc46985804f3e2ab0a79f401fb545b74dfa5f8714cab11abeac6b3fbfcae67788cf7661</t>
  </si>
  <si>
    <t>2e98f29816360557dd7ca407d21879516b72f50e6abd40206e9b3eeaf0b2d390234d87c0d3e92274dd848de493fcb0ec</t>
  </si>
  <si>
    <t>8a228f1e948aa68135ec49d9c1f87eb8f6ac1ca7406541b00dfb9274501f12d3fbd5c1960840d72f9c637fc12d180646</t>
  </si>
  <si>
    <t>77bb4289d8fd6b871815438c44cb25a736810decb076cb8ea45c3ec6faf10ac7f474d73cfbe85b9ee74cc8a8211918d5</t>
  </si>
  <si>
    <t>87688fd30d1317905e5e51de679dd7b20074d2b591fda7b5093745f1e53b692fc18bd644037277962a1621b930bff602</t>
  </si>
  <si>
    <t>1910cd9d6966f6c2ac133bb6bccacf650ce3adf50136266b7031ecba8f1088fa423b0cdad4f9d14a1c08900cb537a15d</t>
  </si>
  <si>
    <t>ea9a9bbb7042e392e0abc1a8d4d8eff0bf44627d3852ba6a52430a0044de5485f5eb3bff22807d787868f25bd3057566</t>
  </si>
  <si>
    <t>14ca005420c1c98806c53b0cef532e8fba32902c59391551d6f032ebb381ec9b1b5055ccb7a167fd88e1f891e428dd76</t>
  </si>
  <si>
    <t>a9dcf5bf2edc6b5cbd92e2f44d995b065c06e9bc69de528ba558183d73549f276bfaf5f017953c9736de58269656fb53</t>
  </si>
  <si>
    <t>e65f1f06fb7cf087f72a749386534ecfccb45155e6c4520f2773f13bb24680031089c11be9249e692520156395b6bbc6</t>
  </si>
  <si>
    <t>2f55770938e607f180e474e015bfb56ef26e5d49c3dcd706663d39978e4e9c250a0d796105084ea0eef72789e0531c1d</t>
  </si>
  <si>
    <t>642195f51f0ad5a8061311b49cfc1f88bd03da5a3f1b548123cb51ce797d97802b8cac7b21b21805d34d2c528579ea16</t>
  </si>
  <si>
    <t>291f624f42091a2dcc46f0767689acae00b835671f08495cb756e0c77f3936e4fc17a561c525dfe5bf5d9dc4a181df9b</t>
  </si>
  <si>
    <t>b3c69e1ba6e6c8b2637dec4cda0f05f5e8d4d074ec3821e9ab158b9c6f5175d55aa5e94ec5e5c707476b8d7414b348bc</t>
  </si>
  <si>
    <t>5015d3c383bb233c3af7bc43edff4af683e7fa82067f4c183ad9cbeab09c3e7d0bada6105a4213fd174c332ecf9f62d8</t>
  </si>
  <si>
    <t>7f073f0db44731ad7cc2327c234736833004414a241d224ba701c3c181193a420fc27f975c9180b6d7283ee6eaaa0533</t>
  </si>
  <si>
    <t>e99f839d54515751c81da67ccf60ac7517467510b6951456e1fba121e629f935bf9a24a209d5e440bd16de26b1e74066</t>
  </si>
  <si>
    <t>fd687931756e365179adc6e79150418b6f710168a9303bbc37e7bfb49519eceddc590a3552bad40cc3ad7b5a6c9376e0</t>
  </si>
  <si>
    <t>INVERSIONES INT COLOMBIA SAS.</t>
  </si>
  <si>
    <t>3b228e3891551512b9861a0bdfe5bacff65d556853ace6247730df9731699ff1521dedc0d50cee2529d65b147cb4ec83</t>
  </si>
  <si>
    <t>92af09880765a0c279d6bf7ca56ce4f2bfe95adef92349e7435849340db9fb239465a8a3dca8896302ce1ab425654b4b</t>
  </si>
  <si>
    <t>4cfe6a74ff49e8a5db2ff1bbd9214a6dd0e43f7b4e000f36dd9fb4db5f998310308594d4bdb16dc50607fa151fa4058d</t>
  </si>
  <si>
    <t>42fd47e2de1daa23cd10dd111750a157590fa0fd099155ac62cb430155d7a56fcbf0cf6ef3d04a1885f195605491a877</t>
  </si>
  <si>
    <t>7b85c120736eb1db56a8acf5c7d67f23b36216820e4df7b2c7d90397f1877c3288637b7f3b7a0cac661d292a91c51e11</t>
  </si>
  <si>
    <t>9c332e36f6fa223374daf04aba55c26511f4ad66dbbced7782e7cfa1198440505d6edf18fa02bcbaefa04bd84422cbd3</t>
  </si>
  <si>
    <t>eb38db630f4f53efb383ffdebc44efe6b8e592375868f6ccbd22b50b8d720a6fe42716dcec29bfb1ed4ab6faf53e9de5</t>
  </si>
  <si>
    <t>36db97ceed11aab42c43672076d26527f2a3305f2ccb8fe40c46b063183ee92398ab3c3ad464c62bfc036a3a053e749e</t>
  </si>
  <si>
    <t>88ee287195e81d9a55d3ccff8bd1476d8704a2546ef6a8b28b33615671d73cbbb00f3f8f6e8ab7ce2ae6aec0a05c9c80</t>
  </si>
  <si>
    <t>e80e5952b099ba09d52e5fb9ac6c922aaa5094e2734e35d78dd914e980572f93c59c5ab9a80e73c23247576d8db1a4b4</t>
  </si>
  <si>
    <t>d414b43407262fa9abe2696b266ba3d8ee1d0d5b95c959e6695ebcf96596fd0b99a5a3012d42051f4cfeb7f0a4200617</t>
  </si>
  <si>
    <t>3626afd8a668a750f016a4eed3a900828e4d663a7f6c308119634901648b89ad5cb47ba871a95b563c844528e12789a2</t>
  </si>
  <si>
    <t>TECNOVÍA SAS</t>
  </si>
  <si>
    <t>7d9a6d0f94acfd283d853b66c537b70540dcfc9b4c5f8d7ab569e0dee9be5bf9ed8f5e74fd38ea9a93666c4931d5ae92</t>
  </si>
  <si>
    <t>4c29daf64623143819da40ff186fa6b2ea3fdc4cf12b74775cead3437bb83e4b9ae0466acf54ffc133cf332e020e5bdc</t>
  </si>
  <si>
    <t>57db0b5aa138b14b1efa27e2f611956f42d31ce75ae91d0219b45d1204b159cb9473f43a6ec324f9f470b7192d5c960c</t>
  </si>
  <si>
    <t>Documento equivalente POS</t>
  </si>
  <si>
    <t>62390a46183a40ef9d3b183c6571e58ad5b44c234c2fc18e6623ddc7c40851a01bcd4ab7cd4eab1aef1d98e1a4fe7d4d</t>
  </si>
  <si>
    <t>BOMBA FOODS SAS</t>
  </si>
  <si>
    <t>TecnoTics SAS</t>
  </si>
  <si>
    <t>44d9eb38571222dc3b15faeadef50f246c59ec87af04d16cf6ce78807dc05009bf9c64425421affaadc9961e3d403a3b</t>
  </si>
  <si>
    <t>287b128b232e44ca0762ff7d9b89ada1853368647a1eab41359e84951db48e12073bfcb10a6c2430c40c565c1fb08278</t>
  </si>
  <si>
    <t>KASKEY COLOMBIA SAS</t>
  </si>
  <si>
    <t>e158687fc3f1fbdf3f5514b5f9b265c17838059bd46c44fcc1d878bdf70d592cc7ee758cb10f9211d12cd294f1c2473d</t>
  </si>
  <si>
    <t>1f3dc7828f088c5f071f838a81172def5e87844d01c00e8d9aa3ae0069361a377584a2acae5baeabf63a65d1a9a4e39f</t>
  </si>
  <si>
    <t>5cd36cfab5a185ae5d628f3a22c8309f59827eb85a654183cb13ab1d163e5fba64569f45ac331caa45acd39abf2343e4</t>
  </si>
  <si>
    <t>a9cdfe2982a1aac4b0b0d7e509ea1b4dd41767674b976a665513048188ef8f49b6de30c88d2ba67517df48ee176229f3</t>
  </si>
  <si>
    <t>6bf3e1b53211dd81ab898158c5322da1644b65fed81b57433e93e14ad8b3704f08e5d7c58c046b8c0141cef44710af89</t>
  </si>
  <si>
    <t>7d94d5eed929a21b4db30e5be13d949b983af7d1fefc9ccec15cd98839c709ab242758444f160d5098cd12c7f3dfe264</t>
  </si>
  <si>
    <t>b2191404efc062fb8392aeea64837157a3614360d7e0abd13afd5ce5a0d809d8bede24625f4b508179db179997383185</t>
  </si>
  <si>
    <t>0a2b8f21e862d521cdfd21253337abb0bb9179333cc7057f0c37f9546a46aeeaee1c48c76fa3b405bf23fb57ff0014be</t>
  </si>
  <si>
    <t>90bc2502e65fd8349d4a444c348fc812d3f0e0eb15fc5c01c2999cba48a30d7551e8cb15a9684c211ee2d015e9888e1e</t>
  </si>
  <si>
    <t>2f195c11197e2380d9fe8c77ae2101be9807a761458a35765ebc5f31f3015430d383d5e6ca7ee03eba64b8576b4a9927</t>
  </si>
  <si>
    <t>76f80e7d785576d364fef90e44ad564837b7c942833a186f99eb1780f58a45a8bfaa1da62f3eb15d7ab3743e2427eac8</t>
  </si>
  <si>
    <t>24e4aae82f01d25e6fba237f7ea861c55640235ebf4e36e3c0936af5a11ddba0aad1c68d8fa2fdb07f8d6ba8012876cc</t>
  </si>
  <si>
    <t>54eff040f5f580ae38ff3fcf3f72727b0945fac7b478494065dcf699a7c44a68b12f2d88c7a9d5f1a130ce8d870bdc1d</t>
  </si>
  <si>
    <t>c4f4b023fb79fd2c63e6f606ad4b905f0c43f8780579b386e77cc7a915b9d989d52f28a6f1d86b2d3343570c8bf91b5d</t>
  </si>
  <si>
    <t>c666872f917b767656c382e8f3b2fbd632d7a15ec42ea4b5b6b30fa593e9d4f793238d3970a456a9832f009505fca4c1</t>
  </si>
  <si>
    <t>OPTILASSO S.A.S.</t>
  </si>
  <si>
    <t>a8ba1147ebfb18d1e09622f4303ff36cafa654e5007d20e32ce4239be11aa2f509f09969026fca126523f01be01f91f1</t>
  </si>
  <si>
    <t>72264f127437a786cb755513bf30bd23740e87f7630c0c62635dbf93a43f1eeb5a632fbb54c98bb4cf0e03e4179a93ed</t>
  </si>
  <si>
    <t>d705b1312040451f29209a540e360a7d4f154a44dff4b47bec69ec2e94dc6b892cc8e5357dc2c205ce9e8a273e356c06</t>
  </si>
  <si>
    <t>f81497b5a68d03ce4ee372af39a057b0c1b502ba617537a808532ffc2dfa68ad5367e0149a4bbdfccb7b3d5f9b2da1d4</t>
  </si>
  <si>
    <t>d5af5c2513fb6b974dd3a9972a5b820f0ae02dbd12fa2f3e61d3ac036925812312ae0834aa28621f59c3800432cb7927</t>
  </si>
  <si>
    <t>c9e485cf31633375ab66c33a2740f477c25506a88f88df52272eaa775a1f4c2a639c54a049aa869b1be53293d5aa2b34</t>
  </si>
  <si>
    <t>ANDRES FELIPE VELEZ MUÑOZ</t>
  </si>
  <si>
    <t>dffc1862afc2a3b9cda0ea11375b137b1b232aac447d0b8abf5a1b55a2caffd49f59e667aa3cecc50f4d24b4cabd1bc1</t>
  </si>
  <si>
    <t>8648d9f688c6ad7411c24871915ad99045fef2c4bd4e3d14d3e41bfa978beae91c31ca133936ed445e7c746c2c2ec1a9</t>
  </si>
  <si>
    <t>e5d4e09fb5e0bd16eac66259e29e48bcb3e232b8f25acbdb78fb89d5da37be5f9514c5d7b9d52e0722c6667ff10cbb5c</t>
  </si>
  <si>
    <t>6741452a0b6e6905bf8adcbe371803a3473a5c574f4a7d56990409f3b7565a9eef10cb58ba90f2d5a570c5f2131061df</t>
  </si>
  <si>
    <t>c178d1a97512aab50cb459ac8aec009477d396cae98967a09ba2a79254bfd609d120bd23a8ffa204120d4fc402fb8ebe</t>
  </si>
  <si>
    <t>1250d379d03b42e1c6ae6d23de416918ba245462c095d5ae53ec24ec6c7e41e1eed2b81c4f66ecc918ba2b2e970ee1c0</t>
  </si>
  <si>
    <t>NSIT SAS</t>
  </si>
  <si>
    <t>0d7cf87a3182b960dc6e4ee67193938c31bf5a6fef0e62c54e32f51621c184140d8b59c51695552c4231df16c587585d</t>
  </si>
  <si>
    <t>6c2b126110d1f5f4bc31813d0fad6d318a7b05e4ee08bf6337d0ce399db9d6942e2fb1899dedbc6158e6deba94ab1583</t>
  </si>
  <si>
    <t>Bodega Digital Medellin</t>
  </si>
  <si>
    <t>1b9940bcc3d2285ed59876a2d042fc16ad5dc893dde50550a7d20612e0fe9a56176a0dfc9a34e2a0e384c9856f195a7c</t>
  </si>
  <si>
    <t>9206ad72535e31f66572a7aebaa23787c01050a0ad8b52bb08bf22b3835c9fa91c1940583c2d5ee4090f3666a5e0abc5</t>
  </si>
  <si>
    <t>4a86743d2d4bfd32dc7f0feaa6ea7bc14e8232e2c29f0fa1179c58327d3f1936c109bbc27e0703ea754b810c88a2ddb4</t>
  </si>
  <si>
    <t>2935c1bc116edf20d9f4a63d2c6588d9acda326ac28c825c054e3dac9cd6cb0629f27d28344a65862a937db46c8f98c8</t>
  </si>
  <si>
    <t>36a0ee60a9a2d9b33f423fc9ab5985d52500b2a0cedaadbf3330db939db7d76c4b4722a27bf7d3104310f50333fef4dd</t>
  </si>
  <si>
    <t>a7368722bf2b7d31d1dee005456a194b53551cadedb2c0613dc57f2ff5b7adb5adc129db02ae632be8e3e74081e389a0</t>
  </si>
  <si>
    <t>16e9846096a6de9f3d76a743c837b7b2e65aeb2fcb43a61f32bd6a9d841123a015ba1910714bba48073bf46554c1fbf8</t>
  </si>
  <si>
    <t>c5ca712fddae68e9d5faf759da957694f52feb2c5baf4664769cee0d8fdc2fedbe121e3f10a05c4d3e6dc071b5291837</t>
  </si>
  <si>
    <t>ARISTIZABAL GOMEZ JUAN DAVID</t>
  </si>
  <si>
    <t>998f09f9de047fad5934b1602fc5250a3d8820eb40587723e1043a8649abe63a3c7d3ab6695c6b5aeb2930a2fc525af7</t>
  </si>
  <si>
    <t>c9065fa063325bce19ce539685d7bd340b3cfc7480391cb3181220a6c3955e31d662c411cc07b641d244c366c7f9c7dc</t>
  </si>
  <si>
    <t>067e5b219a959d55aaaf7ea9fd96dca3ba2c487f76b58e498684dd0b63049a90d62206bc8d51a83f9a40c879f7b8d669</t>
  </si>
  <si>
    <t>INVERSIONES PIGASUS SAS</t>
  </si>
  <si>
    <t>TECNOTICS</t>
  </si>
  <si>
    <t>2a2f24c0d8016ddcc1ef2211c40eac60ae0712ce89512807b211c0e3a9ad5599698269ceaef552048e8d02d3bf6467b9</t>
  </si>
  <si>
    <t>7e89ea498b09023c19f11d78492c18afd7e556f90922c258241a64f0fb92aa89e460f59e079dc5bc6ae76e443af6794e</t>
  </si>
  <si>
    <t>PEREZ PEREZ JAIDER ESNEIDER</t>
  </si>
  <si>
    <t>baad59c21af8eba4fdd93c25182c7ee86c3bdf2cb8d8747c11ba986297819833df112552c27a89a84ad5b31ce2418bf7</t>
  </si>
  <si>
    <t>9be9e7a91cf525d8cc6290e1fe961d1947dbdc5b5c777cd2daa49a8b7377f3845629d5a2b1bdd20ad111715c2700d94a</t>
  </si>
  <si>
    <t>e6b40c06f1bc9399a5a0ec9a7b59464c5cc02d3e910387c8275dd73722c763dd3d099999f75267c71f5ca918f458a6fb</t>
  </si>
  <si>
    <t>73b1823bb79630aa0901c9721490509340751dc9c9eea7b48f0d5669756ec1dfa2405c32652dbef4bd25a3a35035565a</t>
  </si>
  <si>
    <t>322ae689b7f08291b443ad6ee26faf7f80a38c53fd982c51618ff3e71c8ab160fde945cf838b5723fd3f41512a55f7dd</t>
  </si>
  <si>
    <t>75b38cb12816283ff296c834f3c5a73323ba2ae44ddd50d31c8e73661079c4a2c8191cd2e0249f329714841325387e7a</t>
  </si>
  <si>
    <t>ENTRETENIMIENTO Y DIVERSION S.A.S</t>
  </si>
  <si>
    <t>157d60ff35bb1a2d9b2c9096e74074af70967241f79cfcce37a6f7479a97de504d004c10a22a8c2333abfcc3ed0b8186</t>
  </si>
  <si>
    <t>9ebf1bd074cf29b127b3ee0dc2d1ebb0c522fbe618666ad0cd6613e2dbf69fc008f71850362048549aaba7ba13df0b08</t>
  </si>
  <si>
    <t>1d5e043306489066fe69d727cf5336ad721811cdb7f7b88a429fda8fc28829862d20c73685ecb351bb4667c27fc52254</t>
  </si>
  <si>
    <t>4e9683c900624ebb5a0fc21349abcd0a8d7eed2ae4555eda67f86bace4fa729050cf75fc45af0ca06ba14fd59b3f1677</t>
  </si>
  <si>
    <t>299182bc630e18d07480eac8a64652583e6fa2868f8dfc3ddb45a87f6792420d8761f62f7d43979d2eb821a2237ea79e</t>
  </si>
  <si>
    <t>3dcac5f0b89137e410f9380e7f1b06e800c07f1b26936003cf61b2f624202ba8dff1a27b8c77f1031fd2d00bcf2fbf54</t>
  </si>
  <si>
    <t>40920f508fd9e5ee8a795d2e4cc0eeb34046eb83af7e3202886632d38006b57b4dac93a36cd8ba19942a0da2bd33ba88</t>
  </si>
  <si>
    <t>980f2123ce19f0979ea40580b4602d9de27b07c31b4b9af8770b7114c87d1c58f7caeafb8a484eb12c3e67e955f4cf35</t>
  </si>
  <si>
    <t>MASTECNOLOGÍA GROUP S.A.S</t>
  </si>
  <si>
    <t>940d0fce546243e70f5aa83338d586c6618cac575388ac6dfbba35f26c9c5e88f9dd8083b9c9e537c3513be03e65c0ed</t>
  </si>
  <si>
    <t>ba790d5cdaac483c4bd3f1d79f21a4be5c1fd196597bb8c36f6ca18edcb982b04ec211813696931638c7e5491d0151b1</t>
  </si>
  <si>
    <t>e43d6813021cc7f3e32a57f14a06eb54e76322d3490d3ced7fafe72a511fb32110622984bda76a921182e7595879493e</t>
  </si>
  <si>
    <t>09d697647e92b1fced7ee1ac24edaaeb9ecd1062ed21514ee57cb6c09f3d44cfef28ea9cd131a5fa946f135a004b8272</t>
  </si>
  <si>
    <t>235b033746d3fd016e7980ed364810ddbe5208d076e3368a93cf14e45f04e7b5ecbb0b53b4d5af72cfafd5ba3a5bf2c0</t>
  </si>
  <si>
    <t>be7f73231d7b09db71befdbf79e973dfd8e37fa5e85d20485e48385e9ee9e2d5104c51b89a84e74e3e1ea0fa0af66e70</t>
  </si>
  <si>
    <t>b3b41e2215851ee47ee41b2b5d9a5f9dab7efdbe53d8a7d86ea9cb1a29d1fb3f14a9477b544617fe7c75e0c003ce57c2</t>
  </si>
  <si>
    <t>8b522bda9af3d2fb2a4c71912779082f844683aaac2c9dcef7a253ca7ca18699ed4b56ea20d88328f17773ebd97bb1b0</t>
  </si>
  <si>
    <t>35326f7325bd353781cece69ec953bd8a43538d0628df831b51a2f59215578658979169cbac2594e0e679266460f5ac8</t>
  </si>
  <si>
    <t>310597557726619cf53e10848507217eb257cfa66a7f1268126ea15a849da6d08d269fbf3c6f83af53e0fbd15310c9a3</t>
  </si>
  <si>
    <t>14c90b2bdfcd0d8e559d56f27d7c95971dacca86cc23b1a277120c945bcb052e0266d38deb1ffbdd5d01c42113f17351</t>
  </si>
  <si>
    <t>5e533c3bc15dac9f8753e4dda8474e986d5fda6937931703be5062b60b833ff151b21504d0f686f2e0f53b0382a2eae4</t>
  </si>
  <si>
    <t>acd9cb8f51ee1ff0575f94cd61b294d95785b620bfc66427bf2447417af490dc7a46e3b072d8594ed10004ac02a86fd4</t>
  </si>
  <si>
    <t>e87677c2de7156158cd188ad395f83efc36931047f27f5c39034bf10b25fd7ead92db1e08b321208d9e1db3bfb3e13c8</t>
  </si>
  <si>
    <t>e90dbffc595523e09bae7403cff2be4f5d95c3397e1ff9562028cf3b1acf86200d882529116803125648178690fb7895</t>
  </si>
  <si>
    <t>9845fabfb83bc2df356a40fd79c0f4e71cceff7ef3f8cf52b013fecf6d8816becce93e8f199311d3f107e42a3312e47a</t>
  </si>
  <si>
    <t>292186eee535a771b647f2f2ee4bdb5daa656caf92e1507b4cac8eaadc9648e45bd27f7f58b815d501cbbd3b251d0b63</t>
  </si>
  <si>
    <t>25a5c6266eb7d226835e3a801992163da671d8ac7d29249de4d9d5e652f5ad114a7a5029f375d2815d5d6287b482db4b</t>
  </si>
  <si>
    <t>cd852b19730c3e70acd395f7b112f0d389bc490483ff9e808b863f35c7a31167027e0c5f41314ccd08fbe1225f5cc3c4</t>
  </si>
  <si>
    <t>e4352d011a91a48983fecb91b556a4a938d281b5a9771c6978d6bfe3fc839d022593c5e5d0bf58399b27cf815634de69</t>
  </si>
  <si>
    <t>7037ef226b35707448dee2861e092c8e29c0e8d4f0af31ac66afe6985f93fbd96a885f26e8b905e4490ad43c50f9df54</t>
  </si>
  <si>
    <t>00f870cc0c5858a88acf3c3b200c255010b79900c8deac792071fd5b553dda0f4d44a77b7ad9eacfaf653f7789c0ef85</t>
  </si>
  <si>
    <t>2d438a768557e9e2f03e2437c11ad2afa5a2ad196ca0408847a50244065a720a7167a6b6cdcd2d11187e4c6217f33425</t>
  </si>
  <si>
    <t>1bf1d390649c3e95c94a0cc464eccc67f3961d52cb1e39dd3fd2f2d7147f19066ece202183f3992ad7be15b13d73d154</t>
  </si>
  <si>
    <t>5b9fd733d1ba0d996ef0b9a18b9730245695affe9b87ef330356838fff35f733c1008d970feb961f46fead50ecf57362</t>
  </si>
  <si>
    <t>a7c4cff7bd64cb5b524bf1e6b5bee20f4e73fce1e179bf0d227fb4e7b829ba505d2edc454fba45ada88dbe3caed3b576</t>
  </si>
  <si>
    <t>07bb3a49a614cd13cba178b0a72a7367ad6bc428f50c2b8c097124d07466e0224e5cebfd8a5cb8701819d86c3ae89104</t>
  </si>
  <si>
    <t>6349116027d23f83c29b8323efcd65e99a81b53bb7eae99610e24efd096e07da09a7ac8e31ecc25492fb73d7419cab0c</t>
  </si>
  <si>
    <t>d5b8ca4b06d474d66232ade6ab633a37a11d251bd6a1ba747c0cb2e5b9c232f354595fc2774fde69a69df4a529dfe49a</t>
  </si>
  <si>
    <t>302db3b6cb9c090347833159fd63e6cac7bce86c462035ab68832d18d6e4cae6a773ac932c6e19838f6af59981cd0a97</t>
  </si>
  <si>
    <t>9c8c5d8b34173d598a5cc31952d90f5cef828d75bf5aa62facd5769529931f4d4f06beb806f679a813e27c1e56ef92b6</t>
  </si>
  <si>
    <t>a373e93073d06795e4b5eacea54a4957bf3080db462a9a575059d9052eacdff83e02c8465dcd2985bc6d48ea3cbc751a</t>
  </si>
  <si>
    <t>7e64ea88c72f4e7608eea0a8a726856b012bd87a57b35bf9fef6eb330e8d44335c3b52a77f9f881afd2bc284818e7043</t>
  </si>
  <si>
    <t>77dddf078948389e7d404b3f9aea621eab42ecfc4fa983c905f7ecf7186373ab2a4e5f1a1b12c06257dddba81dcbe64b</t>
  </si>
  <si>
    <t>3a066e7249de477377886222e06b843cd288235cb7104f23c465c9d3cc7537600d6f3d1ca8cb79b330c22e4e0e5a1d85</t>
  </si>
  <si>
    <t>7120d90927de78b775870cd8eb8873bcb9865e2de958b53a318fc4d6a74dd141df01eeec09cab10707f1769ef1e186e2</t>
  </si>
  <si>
    <t>8ede98b6e38fc07d936d444f6151b58653b284c871ba1d3024c4b63f665146c16f9f4580f771c5fb6c0e2d86398d1b73</t>
  </si>
  <si>
    <t>ee35bb6f47f3114f120ab258902725f2a82d876a0120b9bf87b0e79222cdae7dcc6fce8a0c0b5e7f106b858b7332fb8b</t>
  </si>
  <si>
    <t>9fe475b6c6537f227c60350439a4eef96ea2ec2a57d3974eab818c60e2cfa6fb0ceacd86fb4eccadaee4f06a5ad70ef2</t>
  </si>
  <si>
    <t>28e54fd25f20578ffcc7511334c6913d1c1f3fec8bbb69c456b3e3b7321c127c18c9e650132e755e8327dc1f73b994a0</t>
  </si>
  <si>
    <t>034ee13a105896c7e94cb5a91b886c28b3ccfbd97d6a4b5689e20b18ba34e253c81421a37f41cf4297b2ffad86925a9b</t>
  </si>
  <si>
    <t>2f9952783d8aa4a758cc89e6437ba7f98ae3d2552059d6bc7073d56ad6d86578bfaafd1ab2eb5ca3620b8e5f66be23e9</t>
  </si>
  <si>
    <t>6fd155b287ec78e696e1416919cb29216f4f96baf6fa4e49352828bfde7ac03c4a304bc2e811b09bb9959a41affc5d26</t>
  </si>
  <si>
    <t>0d2115b0eebc652416825397e725a4a0b997ea33d5deec54b359dc42b4cba0ca0d4d20198b60c3259aab7561dff473b4</t>
  </si>
  <si>
    <t>2ea2501b822bd9419cab56a18906ce06510c4dc95a88f8de9c9dc3504bde490435b5a2645846a042897d0a711c9b3cae</t>
  </si>
  <si>
    <t>28f7fa4ab4a01dd01f86e199f86d1ba230279633a634cdeda75901f963724ca9daa0911ac1d852ed3d4a6ccbb564a1d7</t>
  </si>
  <si>
    <t>881ad5b2b12a7ff3d5407a90018b908cb2abf113e221f4e03c570ee363880e43c5a0775a18775a81ab4fbfb24fb74b82</t>
  </si>
  <si>
    <t>ea984d8d2dfdb51f616c99fbce12f91bf62e27a2115d41aa7a23c1addc8b1c9c66c3ad88719476e11df93a028663183b</t>
  </si>
  <si>
    <t>bdeed5124f7d43e669e444caef5c8a881de11c2cb667a55ccefbaa87bc84101692195b856cc42fdc5fc4b591a662b7dd</t>
  </si>
  <si>
    <t>bc0a83fd0a4b5d09fefde2a889cd0aa9e7b744ec3df94619929437fd775f65af49753c31aa8f4dc877ced605bfc4ba60</t>
  </si>
  <si>
    <t>250292861706a9a115c137a15b9453533445e04ff3d60e561f0d4138f0a7af20b57a283540c59ac059ce04eb33beb640</t>
  </si>
  <si>
    <t>c2a5178cdd19791a31d9745af6a404258d8c45c8eb6ad9ab7fa986ca54b5d8911fcc01c9cee6d269f86801c28742986f</t>
  </si>
  <si>
    <t>cd2317f40ad19621605bca74a225f67b2a7e1383bb622046c91df4a82c8dc6f3252f051d2f76c4efac80a6faebfba4cd</t>
  </si>
  <si>
    <t>4cd128bbb0e5e25740953a39153e6062431afb3444d7697bc32af3d9c1843b8d2ed49e303b820e1180c639327233fbd2</t>
  </si>
  <si>
    <t>55a308c87beb95151154193b13c670651ed65783cc0435ca0951fe56d6e1a847354f7afdefdc2b1a0a93a6cbc30609b3</t>
  </si>
  <si>
    <t>30ca20ee5772cabdeccba827ca999b9f00da13039187bbb8e409c1f23c6e6e90bbbb7eb5ece993ed8dfa4ef7bcfae0d2</t>
  </si>
  <si>
    <t>b63cca583693d5c443885ed63b008e8012a40f8f0e95ffc99621695116a307fd1e242e5ae90b67f5a1a46d381f6c1514</t>
  </si>
  <si>
    <t>816db2d9556ea8657d6b3b759636c06100970ef054c88af400353767dffd5d5948a0e514c0c65db306764d47eb79a692</t>
  </si>
  <si>
    <t>af26b5ffd88867e2fc02c2f77dc741805e50f8883298fea507c48a645534a0371ce1057e38dffa25b19e2b935d80618e</t>
  </si>
  <si>
    <t>17bcb95b014e1709ecd69ca62a5c89c3cbc9c1fdc5c700d27fed4da55dd8770468ddf7c1049f9f6c6211462010a32d89</t>
  </si>
  <si>
    <t>VIRTUAL TRONIC SAS</t>
  </si>
  <si>
    <t>a3bc753b394272bd13a9c3c8ab5ba2cba27ec12a135489749c64d849add21d360e4621d0c5d3babbd40862a2992fe983</t>
  </si>
  <si>
    <t>3daa3c79367e27f91450a109205b5e495ec6f00cbe17e695d8f7ad2326c6784e513c3029a345fd923b132ab95024f50d</t>
  </si>
  <si>
    <t>637605cf18760d16c84db445e33d6d1c792fda2375a562cc22164050017ed380468e835bda4827dba65552c1b84ec7c8</t>
  </si>
  <si>
    <t>d1a877f004be1c79be960d91a2240c418cbfa527d627d29d4d98cd527130d63710157181b8a35a4648fafef5d7ecbd0b</t>
  </si>
  <si>
    <t>3cb59c60dc6213ce16931007417934795c32c25f4e29ea33af54be543aaf9e2e7835709e99110fd44ecceb6419e5ecf0</t>
  </si>
  <si>
    <t>5147b5aa92051cf4a60e0b75a81aa3e9b5a5be3f1185579e45344ae6f8dc730d7acefb2d1ca8e1b395184eaffa74250c</t>
  </si>
  <si>
    <t>0f4873c46c178f3146d6b8116a7171d41205a24938245943f5a5ab33cb0ef0c652f93bdfa4713cb8aeb30f7622f16a2c</t>
  </si>
  <si>
    <t>f2a7d37664d4128d24d6665e9034360c6a7a2dc2637c4e772699722f60bd6432f753c878769d8735610dfd96aab5c1ee</t>
  </si>
  <si>
    <t>6fbce5100a2fa0d52783ea848f6dcc7759297ba73e48843fa7a531f0b5c4281216b09ea0a4fbd5a780d32c2ff17816ac</t>
  </si>
  <si>
    <t>e5671141085485175ed88766e91cce018bb6fe406bf86c3de305f4037cf74a994106f761918deacdc863723dad0cb82d</t>
  </si>
  <si>
    <t>1b93e90cf6361498e9dda2344430e64c62b249a5600ebadfc7faab8f0b482a7b6c88d0a8d07f8914b68b0ebdccbefc9e</t>
  </si>
  <si>
    <t>TECHNOLOGY FOR BUSINESS SAS</t>
  </si>
  <si>
    <t>7f7b40f7258222db2d9a494f84e38ce8d0f55bf220d33dec064cec4453aef465e1d299a8e96ed833501b61bc4e8bd660</t>
  </si>
  <si>
    <t>693588968a7f937a6f876bfa7054ef2ace35f093f4425f1b92caeabdb758308507d541045ca464ad470714122cf5f675</t>
  </si>
  <si>
    <t>cc27f46c285a4dca9f27262d5c7efa0644703fc6281a204e658701f61d88e7bc555bc962e27aefa961eafe30b05d5dff</t>
  </si>
  <si>
    <t>87164a59f10bed3054a52e2db0bcb2e5578a8e19be5b96410ebd27fe3d7739c3ca29250392538d9fd9291514ab9a3202</t>
  </si>
  <si>
    <t>927107e131af5a050bf67c260d993dea50a9487a30b04e1c486f9eadb98e58c6e46f27c7e9884e5d630aafaa2edf97b2</t>
  </si>
  <si>
    <t>ROLDAN OLGA AMPARO</t>
  </si>
  <si>
    <t>cba6b7e3031056b62ed3767c5af511f23d504ca24ac6605c3125251bca8455f1295a35647b4b6291f8978df6423c867a</t>
  </si>
  <si>
    <t>ba80e31fd8846d101a89d6e31ce2c345308f97879feab0cedac608250c95c9ad2459ca942ab32602c52373a0bc58d35f</t>
  </si>
  <si>
    <t>701e7e737b248de95f1fc6230616005b88b4af33a6cd5276ed70cfa2a4f81b89b4e053dc9ad1d9cdeaed89c78ff04b4d</t>
  </si>
  <si>
    <t>e6ba60f56d13bb03e5ad7d6adff8a28991e0ca16ef62188ee172aec5f73b3ae59c65b16e067431a2b06162bbff4c092d</t>
  </si>
  <si>
    <t>0b57eae2218002f3cfd13f7aeea6e79b4a2cd6bafee8ad53d184f4c5c3421519946fb91057d2a5683dd3d9b474da6cd3</t>
  </si>
  <si>
    <t>576ebfd72a20c66ea73bf48bc783a8bec89405bc40787a325d82c23e863ddc1bf1759c7248655e523c5ad19b98383f6f</t>
  </si>
  <si>
    <t>ea4af820de2c7e2348086d0d3ea154b765f3b708ea600a5e5a5898fd0dd0311e754720454bda56c984c1a481f2fdf228</t>
  </si>
  <si>
    <t>b5fe14fb52509cc858126d158bcf8b0774ee2572bcf801f01c78b51dc90a76269c45a711d0a733c48c6f67c6a8cc29c3</t>
  </si>
  <si>
    <t>ARISTIZABAL SERNA DANIEL ALEJANDRO</t>
  </si>
  <si>
    <t>070672de4599f68deb46758f98c9184f06f1aea23cb10dfbaaffeb6e02f1070ccdedc68144433f2cb5c5d46baf0edd68</t>
  </si>
  <si>
    <t>c963c8ab63df8a9e7de965ef1a4eda430a3f12548ee8c68a5ba2654d312bacdc814bb7824d0885578cf30d199f51dcda</t>
  </si>
  <si>
    <t>b513d36b1cc20e8935b5f251296467e0c8ae727ca86abf9f8d09666ad2dfe9912cb0ace3a5affcf88251d5c478264d75</t>
  </si>
  <si>
    <t>NC2321</t>
  </si>
  <si>
    <t>cd0c1a72e58594028b217d395e78defe5e45f7b33bef7f7fbdfc49c060a3066f201f858e15ceed405a5c5d848b8ddbe5</t>
  </si>
  <si>
    <t>be8a83e3c744b8bb575edf247e4c2cbadffa165874e5b0945c28e045808f4686b5d99e613b9db0c729d388718f8c69b4</t>
  </si>
  <si>
    <t>2024c4107d4c11aac12e12647dce8643e2d9cf413b26b521d256642b940fd62dd75c07552447d5fefb6a6fb0d3a2aaf3</t>
  </si>
  <si>
    <t>92785a4810e12d66668d4cbb4f9746bdb62b7d558004e1034203af1ef72e448939d141c82afb3f44404568c1bb823f29</t>
  </si>
  <si>
    <t>4eee1a9a29e6accddbd1e7a6cfb7e5bdb224371283e36b6e58a04d395fbc4818df3e698ea368f40cf50b3803fd2c33f9</t>
  </si>
  <si>
    <t>e856d5bb12cdfec6ff683a9b272d41d5499e1bcfd68a02fae731f5103d40bb48a673779839894df13c6cfb0ad654bc20</t>
  </si>
  <si>
    <t>92b0a4fd07545255f7c00ba2d3c3f2879b902c739fb4ae10a4bc7fd645b7cb21030849534b927b93c62b6e453e090812</t>
  </si>
  <si>
    <t>354a6901561a6761427c1167faa1a0b7fcc5effb8498b969f58ace9b9ad064f52680628c3c81aa8be8fe1f1a4ff751f5</t>
  </si>
  <si>
    <t>eef653d413ea75f10509cb6b045718ec34753a0d11bd26b3ce93eccf647775dc4e73bfb5a751773159ab073b02aface2</t>
  </si>
  <si>
    <t>ad2e94c3203f4e4b1b9bfcd4b431c80afba3455526e3f65aa5d7cc29c89215a69b1880a04d0976099b40195d7f642a83</t>
  </si>
  <si>
    <t>cf7fd9dda7cc732ce620256900ef9ae01f38171ac6835d988b9a9492300b222945f2acb62cf979c919cc9fbcdc565add</t>
  </si>
  <si>
    <t>d886ddc8c3bbd4cd6258ee1557d25a7180d5b11a5fb2eb8f1de0780202574974d9f24425a93e62bcdf29e7e48a489a12</t>
  </si>
  <si>
    <t>131c33bfd0001f760a339b7c4c4df0ff71176f254c1df71ad0fac6b72e9bcd7987b49802c9d97c9de79314ad959b2137</t>
  </si>
  <si>
    <t>2a58c8084cb0289f7e3187503ad41a5e5f91e910aa286c607932ee2578aa6879423a3c4b989220600eaefe05468a4216</t>
  </si>
  <si>
    <t>3b1c42b1b3057dd7d2f38f64e7fb3aa516c714f68635eb8f1ce5dbd7f9eddcef226b8f0d8585f1ca62f71a4fbb916bcb</t>
  </si>
  <si>
    <t>7aaaf5bab97f961ec31dee262259e6a5526b4f69fc11dd0d1469eaf0ccc9c48b271ea2918024542546541ebd148fca26</t>
  </si>
  <si>
    <t>1ee24a52ff33a53625ca2721153fa41492eeb669b52cc057126f1acda70f2e1626434de255525958e692d4ef9a8ce4a7</t>
  </si>
  <si>
    <t>d8f81038123183faf703c7721f305429cdfe5cf589de644b65d7efe8bd8d22dae5fca6060ea96ce30c5a49d3412c12a4</t>
  </si>
  <si>
    <t>b78786c56df620b880ec2d11ec080720128095b2eb7ab1a74e8f200793c3f8ffca7db92221c35c2fd135366363740e09</t>
  </si>
  <si>
    <t>LA VELERIA PARAFIN S.A.S.</t>
  </si>
  <si>
    <t>7b7d55e7b5b19d02ad4a3a1820adc96aafe0d4ec68080a5e92d1a6e5d9ca59364fc1b7d4b3c2b2b900cd0fc0f3dd6e3d</t>
  </si>
  <si>
    <t>667cfdab46a698bc39eb5f1c3b9c1c80a99576a9fd7aec9a04140050259c38513c9775960eb1138736fa14f3cec99e9e</t>
  </si>
  <si>
    <t>312b8f5993236fcf2da1e884d3188967f192ae6aa99957c9a0d14e0b1d75a63d2f589a25a7462c2c08379f78a1f94f7e</t>
  </si>
  <si>
    <t>d81cd4f8c694dcf2e00f60074f379bf190f816f71b9c934cafc8fd4bb6dc51b4975486a1f27644d9e505cccdf9364234</t>
  </si>
  <si>
    <t>a54bf6d28ae2ba4600283a763f6512446192adf84d17b165f0f563bf725cd996f6abec1fe128eeb592f50142b9da1260</t>
  </si>
  <si>
    <t>1ffc4c1156549e0bcfc8873a373add1907fb5013c3e59ddc761bc843dbb6f6977010a38814bb10858eec96035765ceab</t>
  </si>
  <si>
    <t>517da8c158fc5ffb479268de3da34cdfa923782943170f793417367c62b607f4e291564aaa4a59b23e049d8bd3663baa</t>
  </si>
  <si>
    <t>441bc2da4afeb6186692901281a11cac0857bf6ed9df056f373d80dab9c16ffc3a76f6eb01d554ddb76c7f3593f8e439</t>
  </si>
  <si>
    <t>586ebe15cce6f3e03f813b46a67b58174c3226af829f3fb180a4820313e1e5eace0f5e10350a76312c4daeda8b9d3f06</t>
  </si>
  <si>
    <t>7340c8bbdc5a84893449fd7831cc97529915f4dae8b2a0fad6a4db5b958b40f384633dcea83a4e059720bed98af7a2e7</t>
  </si>
  <si>
    <t>cf50bbb368ccc7afafa426ba04e2c426e0b8f52aa1fd11df5d66bfa0bb7d12bc2d130fd5470a485e5c23dddb78fb3387</t>
  </si>
  <si>
    <t>b031aa4ac50b6b9ec5cb96e2686542485eba306f4b8b9bbaf4a6ffc8e7e9463524a75b95f2abdae3d0ec1ca7eaa17ef8</t>
  </si>
  <si>
    <t>e50f8850278ccf8e8b762369af5315810dd846ce3d6bd622ff480fa7002090dc70842ed750ed7f65b2e8d6988d04eedf</t>
  </si>
  <si>
    <t>0c5c15a04e950b4b8f62c45d904deb70a9898ae218c801d3cf50e9c2f680687331714bfba672af647eac5f875bf10d79</t>
  </si>
  <si>
    <t>de6700317b9417a8d9605d29683056bc80f267c288e5287570abb41a57d2df3dcb6f068cc54734cf0d69a0e510ac6965</t>
  </si>
  <si>
    <t>dd4d0606ba67a7f537b33312427dc7a5a0638a16d52fbb0df298b73c6f05448a782d19731d65249804a5aa386b497cb6</t>
  </si>
  <si>
    <t>EL COLOMBIANO S.A.S.</t>
  </si>
  <si>
    <t>ea06e196f853d622df7b912938e1371d826d971880e1f8dfed02c699709aebaf406fd58ea7db1f7298f89e7658e93130</t>
  </si>
  <si>
    <t xml:space="preserve">TECNO TIC SAS  </t>
  </si>
  <si>
    <t>c5ae896b9c2c7a15bc6a77989e22d2852affea58ec132d8100d9059c82062d15abac5607c15d43eb800b22b727a58cd8</t>
  </si>
  <si>
    <t>28bb10d9672762b7b0e35a65d237e3d7454c48f274523665be6ebec5db76c476f145f1af28af90ffa1ac298dba302b54</t>
  </si>
  <si>
    <t>3fbf721fc9c824faa40ac17bc9faa318320b71b6b14b8771315da6f192d1c50e504629924246604ed6a5b625e4226040</t>
  </si>
  <si>
    <t>TECNOTICS SAS .</t>
  </si>
  <si>
    <t>a461b784fbb17da72fe50c57e9172ae52fbd4f608699a82d0d2b3d4a1a40a931705ce94106d96a21066fdc42c870c079</t>
  </si>
  <si>
    <t>599f02864341550e61106578d351a0fc226185d1af465ca00a3e1f1536bb886f18b531ba38d8741b8957fa49b76036bf</t>
  </si>
  <si>
    <t>31f428166b7794797c8ed2ba4cb10f0a5f87ad35ba32a910e5f67018cbd5759b784f2a9cdd6dd4b2b16a71c5c703e70d</t>
  </si>
  <si>
    <t>7a913effdb81f71cffbcb1c6011e60b276b657992e716a0fd673ac3ae87e2fad08cddaed3a8dcf6ff9286ab665df71e5</t>
  </si>
  <si>
    <t>29da315909e5b3c7e0f66f604a4cf7cc4f26371c6231dff3701fd3ad176687143b8ba2e2aec29ec7f58faffc36d57bc8</t>
  </si>
  <si>
    <t>978e4ea9b7c68811b367ceef040b209789eaf82a2822dff603afd6d53b86e86c0571b5235ef2fdad26f1155dd00834ba</t>
  </si>
  <si>
    <t>5118cafc2e860deffefc03cffb79f81da83948e1cb5263f59ee2cc7a13a5672b09f5c1c263090203525ae0e3fa66eb4d</t>
  </si>
  <si>
    <t>18c9f0cae3bd23db8ce67a9e500e87082162ab749a89f93bccc7eb44724e70a2c7b9bf5f9139c5bf5897769f29f2a52e</t>
  </si>
  <si>
    <t>622c784bd26162e377e6f709fe68a4ea752ebaeb39e5a2d6a3973f0f1d98ef9514f7d357dc54f184612f737d98609edf</t>
  </si>
  <si>
    <t>a8b16cb76b4868c0500304f01dd081c860571aa47e2f97c1a1d148cab1efe1af5fbfbe91eaf43d5beb1241ef3da00b1e</t>
  </si>
  <si>
    <t>020e8494c82c37256a3d9fa7ac420bce38e065f8567805032a3d8afefd0eef7c5b677ec7423d862f040d4499bd4fa10d</t>
  </si>
  <si>
    <t>ea486fa4c440f9edc9b70d50e5cd3f8d924ad1b132c4f09c03c0c2e346345c0f226948d098f27715cfd2ebb53b8c972e</t>
  </si>
  <si>
    <t>d2cdfc77aa52041f31d04c3acbcda039e40d2bca0d3cce6b0a2880a461561d803c25f203baba8e53daf08460b81b9ff1</t>
  </si>
  <si>
    <t>067a69176cdcbc4d2405d048c0f8efdd7b2b69f29b6d7370f9b8282cb9396410f9d6fedbd97be6d3220d53288351d170</t>
  </si>
  <si>
    <t>a581bf1808881ada082e0e3b46f97567e69ba816a4227bec83f3b9ebccf849ff5ab92284b17a7f798713fa77e9d1c99a</t>
  </si>
  <si>
    <t>e699aa509d66f95849b66b3458a77103475c3f2ae23d865764b7deb12f160bedb3fbdebf2edf0e142c7dd0db976740b2</t>
  </si>
  <si>
    <t>CRISPINO S.A.S.</t>
  </si>
  <si>
    <t>231987bf9ee03b36b558b221ab02cc4fac93bf5c78caf3405d691094314742295a9e0e82a2db40cac2f96f2fda3d8396</t>
  </si>
  <si>
    <t xml:space="preserve">TECNOTICS SAS  </t>
  </si>
  <si>
    <t>e66dd8ddc0b0120228fa8eb4697a7b8c7ed874c667e9f9912d32b0c6f8f944636a4e10560c574dbf615b54489cc5b3f1</t>
  </si>
  <si>
    <t>3790c90eed35f38f72da44a9d919c7c584843e3192c32536987f4769b4faa6ecd33277e0f0d2310f096c1202d8ab1221</t>
  </si>
  <si>
    <t>ebc62d28a9619612ed148ddfbc6953739a5c7ff1b9129d43ea62ef3d974b52d6cd208ae3205447f861a8854f10c09a53</t>
  </si>
  <si>
    <t>6f492abb42c04dd11a7fa8ff2a0cbe9d408ae1f0f45135ec3b524e4f3b13f84cca99de529308638dce0033bab49e3e6b</t>
  </si>
  <si>
    <t>9b8a8a6551e28bb7ca0cb3f2a89b8564405354dde55841091bd06d35c3f57df8ca9e9470efe94ada873d3390ebea1be0</t>
  </si>
  <si>
    <t>GASTRONOMIA Y EVENTOS EMPRESARIALES S.A.S.</t>
  </si>
  <si>
    <t>3ab69346cf41b02f5fdefc9b4d181548fcb3aacc11033ec5f346d23f71ece659862747bc37243b5ea74464ba7f855042</t>
  </si>
  <si>
    <t>SEGUROS GENERALES SURAMERICANA S.A</t>
  </si>
  <si>
    <t>1714cb9f3bec429bfe70744236a22541e97b9045b641949462dcd8015cbf5b45c60ccb988ea3e0a3d20bb4825d7e1c75</t>
  </si>
  <si>
    <t>86c0e283accf4a5033d8656b2c6d0b7f6dcf9ca0fdd2fae652033e565bb26a47e3501af43f740d888842b7bcee045db2</t>
  </si>
  <si>
    <t>89c5afcecc9f4fb74808ee9bc25c911c801e6b205c4f506fc30ad2ef4e6669c4ddb9d1fb7c9555ccb796af8fdd28da9b</t>
  </si>
  <si>
    <t>COMPAÑIA DE ALIMENTOS COLOMBIANOS CALCO S.A..</t>
  </si>
  <si>
    <t>1264424da88e48538071253b1709607300fc9735ef49d99621c4f48410f512a6d43ce19380f6462c502896992002fff3</t>
  </si>
  <si>
    <t>03c8e7830ba0d25d592cbefbd4a23d4f7b4903dbd7fc033e2592a643c01261aa513e90cb00ebc4002beda96d68860efa</t>
  </si>
  <si>
    <t>8c99657be49dffe05bee01fb2319dd800632015f438b67a86ecfb6946cfba966bdf1da6ffccfebd16e1762276aaa4ddd</t>
  </si>
  <si>
    <t>GRAPHIC STORE SAS</t>
  </si>
  <si>
    <t>f478454aba8a5892245413cde8a0c6f1d724ca60d8b520bf408de800beb8554c15497c96ec5fb74fa6543f19beaa7cd5</t>
  </si>
  <si>
    <t>5f3d50e2c6829a359f2ac22a8353a00937d22b9135c0b3dbd6fac1d7bea4ea3b4c011b69e9cf6abcd6aa858832cebda1</t>
  </si>
  <si>
    <t>aefa456daa45dbc320b4fa5a5b0401cd92149d7181604fd1d89e62a66dbee03d536c2371571c7378c163d765190e81ee</t>
  </si>
  <si>
    <t>WAP INGENIERIA S.A.S.</t>
  </si>
  <si>
    <t>2e5b23e7f893f3a70c0da4cb03a2f671f627062e394be651c58780c3551521dd1902df09c53099c88e9c29ea79c59ded</t>
  </si>
  <si>
    <t>f89a7f4d4cc17b247d8fa20fb96b12b36e8177a163a0820a28cae1b13266bb5f38fd971b0ccc64487cd87b6ec088b3c3</t>
  </si>
  <si>
    <t>3b672fc6f3c2e7c0199a8cd026262cf9e85e5fee6d1beeef66d522a349dccb7d082979a751ef2b23eca00b6591ef1de6</t>
  </si>
  <si>
    <t>a01b6c1bcbfda577f320e4f80273bb65f6094afabccdf9a687a8f60266f4d8011bea93716e9bc3b413f765a909251191</t>
  </si>
  <si>
    <t>ELECTRO METALICAS CEYGOM S.A.S.</t>
  </si>
  <si>
    <t>76e71efebe56bebd58af9723edb9ddf281449e9322859a74b25e375b2c85442f1195532c30b0031c62189d03501b5c8a</t>
  </si>
  <si>
    <t>adc070ea4b83416a9710fcd5f8a9682787f95c34249ef01bc7d1f80884327a857041a70f5ab9fffb1d2bf73b6afa7dfe</t>
  </si>
  <si>
    <t>74e7882cb443adde20c9671df04c2b05abdf5915a4a490f075dc71801b4b02c8e3e19d3e3fc86e232bebf85a23e4f175</t>
  </si>
  <si>
    <t>78c89f327922b7d0df0dce71781861ac7c3e1a928cdec1339bd1e857c3ed6921dc798725b11076c96f8f512699b21ed5</t>
  </si>
  <si>
    <t>04a388a841f556dfabb07c7c52b907863df203bf47e1da8f827ba4f71f98b4f9712daf00b1f7a19a776747976503544b</t>
  </si>
  <si>
    <t>08fe3ae02d8b009ac1923157b7e426d9e34ef4ef03d98efee664b1b0d2dd67739a6b9b64bce9098e2614bac68929a9d3</t>
  </si>
  <si>
    <t>ebe987a2c2565314de7ee9538db4bfcf5d7938955df1f6ad0a5c659401725ef24f752a05ed7f72842046b10e924d343e</t>
  </si>
  <si>
    <t>a01bf8617bf1fd7ef6a97a2afc26c5ba45a21dda8f97e98fbe7c0109b8fc653b0a12fe6e23fd2167f0f56e02c0c99b80</t>
  </si>
  <si>
    <t>6e1da84cdd9cb641ad090c62b7e70ea14af727be6ddd596f75b4d524fc3b2493f61fd4412aebe8d8a181727e6be38201</t>
  </si>
  <si>
    <t>198d2101f11ea0f90772c0c465c2fe01e074450fb333f803627ed460b4d55b88dac8cf8cdc7fc7903b3040b641639e64</t>
  </si>
  <si>
    <t>877685f6e9dfbf1c323266f2329e7a45ad649559545f846c16aae53056fb8a1e2708741405cd9c98a60c12e26557ac29</t>
  </si>
  <si>
    <t>2ed7281780e0a43212a9b5e7870f57866bde562041afc429554aae84b90a27102d703ebd57cc8f50d41fda4490e65af7</t>
  </si>
  <si>
    <t>021b2990ad95e010884fca97ffbadb8320199ea0665a8bafe4a98e548c89f318679b927b3793abd3593344c7bccd2ed9</t>
  </si>
  <si>
    <t>efc7a4d9a3863e0b697f58f656f60cc5e668c787262a54240ac83ddebf6b7cdfef17f4438aaa370075431c22a3497f74</t>
  </si>
  <si>
    <t>1095909a591d98e09ba1e9cc2ecb135c2e44662228c68a5a7d5ddbb5de5073b3529ffdbc77453468bf580a509e868379</t>
  </si>
  <si>
    <t>929b6e09b57715ce02b21ba507de885e6ba7a6cfc82a8f30152c0ba50495c99ed5c5dd5bba5d8017fab81006db51065f</t>
  </si>
  <si>
    <t>ab62463318beb82fba99eae38c01e24856e1f2c0459d00b908e7146e7b797263a47673276b6254522d8159ec19a6c97d</t>
  </si>
  <si>
    <t>91d4be5b8b665d2cca0fe0b39838705b19e3e2d8102bfed7f26de21b5c984455d5533034f4b44adac4894729c2d0320a</t>
  </si>
  <si>
    <t>0d53ac54662a44ef2d7de1e4b3f162904558b5f43ab2c885b8a3826a543dabbf50462fe709a2c5dc39aa1cca208eccbb</t>
  </si>
  <si>
    <t>42dca85227d2e78e21ead7da86dac90e726b372af75642088e1af22cff57d50c30f02788b59df2e44a6e0843e9658224</t>
  </si>
  <si>
    <t>573c00dbe48daca793fbbdd67442054f8cd05c14b14760f5d7e286c9a3cf3b9f95dcf5f6267b979512d5749ded7c7096</t>
  </si>
  <si>
    <t>1aadbd77ef91a682c7b30f1cf7d6902f8c605b333a1d232b64e5ee4f76017a880c2c2a9ddc395aa24358af0fbbd709fa</t>
  </si>
  <si>
    <t>2e048795c01ff84edf90604736513524a2c376a842db8e717194acf4c288d6c6de6cff5abb07d2ddb8a2529c855c366d</t>
  </si>
  <si>
    <t>4b0685b4e2f6e0e53e0500df462189a57b769594a9dbade8292a48c9847448c9b7608040208539960bf6b4b9ffc59ee5</t>
  </si>
  <si>
    <t>577965fad1787dd908fe99a0128d49aa752a2c2d9c132da2d3ee53b9ebc5e48926af9470b39853ffa31f2c024d1c9ede</t>
  </si>
  <si>
    <t>f3e9a1119e1a55a6f30a6eca21c6aa1ad6aa21fe8cdc5b3ef45ec76dcd88bfe902742753d6ed6fcba7a1531a2dbc107c</t>
  </si>
  <si>
    <t>822b39a99df1e98bba03da77c87c8d8ed6f65fd0f1935ddb48b6abf70d1785499afa2d797b03a37fa5b50273d4054398</t>
  </si>
  <si>
    <t>SIIGO S.A. S</t>
  </si>
  <si>
    <t>550d9fbcfae315d71379c5d9f667c3757631888a9c972c83085581dbddfe5ee9c2cb263e8a7f3c30a10b59f32d4f3e8c</t>
  </si>
  <si>
    <t>a76c1bcc0f907d96a3ce3e5fa70019d71c7d897ea728928c29531f98f80d14fa96cb876fec6294f1e6969cde7784c398</t>
  </si>
  <si>
    <t>48445f3e166bd3aa83a5ae58d5e30e187c6ec69481edb4a46313e01c3663c8604c0600c54f6df27fb8b28b3b8b5c9de4</t>
  </si>
  <si>
    <t>d5d696e2b654a83c84fcf1d1547671a9b5bdbd0ecea6e25d3113862eba3f53e28714d14490c5c17e5a83a1f1bada7ee2</t>
  </si>
  <si>
    <t>7bad42348cf67468642c4ea5f6eb0458620df30d23cec295bab255b51f5bd085b8e8458331f39c3d5d82ff8a2c451c77</t>
  </si>
  <si>
    <t>84ca8c5b857f76d2df98b79e8a5a0a5610e4932493e3fe8f445d8fb3599e23a6b1260c8acae67331a443a48c5ecd0b33</t>
  </si>
  <si>
    <t>67de37e6847df46fcb4eef6d12c1104d3ef00dd631bb7e23d4b988e629a783875409c629dad12d7eb65fd54c5b2de695</t>
  </si>
  <si>
    <t>93ac0e3a5153278986e8486e4ff4cdb73682eb85487b63fbf5f138c2c7c34accc55c6492d2eaeeedd85b97bd9dc134bb</t>
  </si>
  <si>
    <t>dfb5be8055588e554c5aa6aa45556f2bb1296d0cb1a92f105dea8a4112d55f2de20d97d1937271b7fd394b638d152e7f</t>
  </si>
  <si>
    <t>c702e046bd87e2ee5c15da8fc7f80f95019168f39a14215f619fc8d7d9a3d6f8a092b49b994824b47a7bea50e642ce05</t>
  </si>
  <si>
    <t>58aa9848bbd36a29dc2f2446f939f33b789cf07e2ffa41d0a4a447c6c367fcca06fafb509cb206688e7046cc72788c08</t>
  </si>
  <si>
    <t>Suma de IVA</t>
  </si>
  <si>
    <t>Suma de IC</t>
  </si>
  <si>
    <t>Suma de INC</t>
  </si>
  <si>
    <t>Suma de INC Bolsas</t>
  </si>
  <si>
    <t>PAGADO</t>
  </si>
  <si>
    <t>SUB</t>
  </si>
  <si>
    <t>RT</t>
  </si>
  <si>
    <t>sin retencion</t>
  </si>
  <si>
    <t xml:space="preserve">ojo prueba  o que </t>
  </si>
  <si>
    <t>Costos</t>
  </si>
  <si>
    <t>ANÁLISIS DE COSTOS MENSUALES — TECNOTICS S.A.S.</t>
  </si>
  <si>
    <t>Fuente: hoja Costos (facturas de compra, feb–dic 2025). Valores en COP.</t>
  </si>
  <si>
    <t>Mes</t>
  </si>
  <si>
    <t># Facturas</t>
  </si>
  <si>
    <t>Subtotal</t>
  </si>
  <si>
    <t>% del Total</t>
  </si>
  <si>
    <t>TOTAL</t>
  </si>
  <si>
    <t>Top 10 Proveedores</t>
  </si>
  <si>
    <t>NIT</t>
  </si>
  <si>
    <t>Otros (65 prov.)</t>
  </si>
  <si>
    <t>Indicadores clave</t>
  </si>
  <si>
    <t>Costo total (COP)</t>
  </si>
  <si>
    <t>Total facturas</t>
  </si>
  <si>
    <t>Promedio mensual</t>
  </si>
  <si>
    <t>Factura promedio</t>
  </si>
  <si>
    <t>Mes de mayor costo</t>
  </si>
  <si>
    <t>Mayor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</si>
</sst>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mmm\ yyyy"/>
    <numFmt numFmtId="166" formatCode="&quot;$&quot;#,##0;\(&quot;$&quot;#,##0\);\-"/>
    <numFmt numFmtId="167" formatCode="0.0%"/>
    <numFmt numFmtId="168" formatCode="&quot;$&quot;#,##0"/>
  </numFmts>
  <fonts count="13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sz val="11"/>
      <color rgb="FF808080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4" fillId="0" borderId="0" xfId="0" applyNumberFormat="1" applyFont="1"/>
    <xf numFmtId="0" fontId="4" fillId="0" borderId="0" xfId="0" pivotButton="1" applyFont="1"/>
    <xf numFmtId="0" fontId="5" fillId="0" borderId="0" xfId="0" applyFont="1"/>
    <xf numFmtId="0" fontId="3" fillId="3" borderId="0" xfId="0" applyFont="1" applyFill="1"/>
    <xf numFmtId="14" fontId="3" fillId="3" borderId="0" xfId="0" applyNumberFormat="1" applyFont="1" applyFill="1"/>
    <xf numFmtId="3" fontId="3" fillId="3" borderId="0" xfId="0" applyNumberFormat="1" applyFont="1" applyFill="1"/>
    <xf numFmtId="0" fontId="4" fillId="3" borderId="0" xfId="0" applyFont="1" applyFill="1"/>
    <xf numFmtId="164" fontId="4" fillId="0" borderId="0" xfId="1" applyNumberFormat="1" applyFont="1"/>
    <xf numFmtId="3" fontId="4" fillId="0" borderId="0" xfId="0" pivotButton="1" applyNumberFormat="1" applyFont="1"/>
    <xf numFmtId="0" fontId="8" fillId="0" borderId="0" xfId="0" applyFont="1"/>
    <xf numFmtId="0" fontId="10" fillId="0" borderId="0" xfId="0" applyFont="1"/>
    <xf numFmtId="0" fontId="11" fillId="4" borderId="0" xfId="0" applyFont="1" applyFill="1"/>
    <xf numFmtId="0" fontId="11" fillId="4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0" xfId="0" applyNumberFormat="1"/>
    <xf numFmtId="0" fontId="7" fillId="0" borderId="0" xfId="0" applyFont="1"/>
    <xf numFmtId="166" fontId="7" fillId="0" borderId="0" xfId="0" applyNumberFormat="1" applyFont="1"/>
    <xf numFmtId="167" fontId="0" fillId="0" borderId="0" xfId="0" applyNumberFormat="1" applyAlignment="1">
      <alignment horizontal="center"/>
    </xf>
    <xf numFmtId="0" fontId="7" fillId="5" borderId="0" xfId="0" applyFont="1" applyFill="1" applyAlignment="1">
      <alignment horizontal="center"/>
    </xf>
    <xf numFmtId="3" fontId="7" fillId="5" borderId="0" xfId="0" applyNumberFormat="1" applyFont="1" applyFill="1" applyAlignment="1">
      <alignment horizontal="center"/>
    </xf>
    <xf numFmtId="166" fontId="7" fillId="5" borderId="0" xfId="0" applyNumberFormat="1" applyFont="1" applyFill="1"/>
    <xf numFmtId="167" fontId="7" fillId="5" borderId="0" xfId="0" applyNumberFormat="1" applyFont="1" applyFill="1" applyAlignment="1">
      <alignment horizontal="center"/>
    </xf>
    <xf numFmtId="1" fontId="9" fillId="0" borderId="0" xfId="0" applyNumberFormat="1" applyFont="1" applyAlignment="1">
      <alignment horizontal="center"/>
    </xf>
    <xf numFmtId="0" fontId="12" fillId="0" borderId="0" xfId="0" applyFont="1"/>
    <xf numFmtId="3" fontId="12" fillId="0" borderId="0" xfId="0" applyNumberFormat="1" applyFont="1" applyAlignment="1">
      <alignment horizontal="center"/>
    </xf>
    <xf numFmtId="166" fontId="12" fillId="0" borderId="0" xfId="0" applyNumberFormat="1" applyFont="1"/>
    <xf numFmtId="167" fontId="12" fillId="0" borderId="0" xfId="0" applyNumberFormat="1" applyFont="1" applyAlignment="1">
      <alignment horizontal="center"/>
    </xf>
    <xf numFmtId="0" fontId="0" fillId="5" borderId="0" xfId="0" applyFill="1"/>
    <xf numFmtId="0" fontId="0" fillId="4" borderId="0" xfId="0" applyFill="1"/>
    <xf numFmtId="168" fontId="7" fillId="0" borderId="0" xfId="0" applyNumberFormat="1" applyFont="1"/>
    <xf numFmtId="3" fontId="7" fillId="0" borderId="0" xfId="0" applyNumberFormat="1" applyFont="1"/>
    <xf numFmtId="165" fontId="7" fillId="0" borderId="0" xfId="0" applyNumberFormat="1" applyFont="1" applyAlignment="1">
      <alignment horizontal="left"/>
    </xf>
  </cellXfs>
  <cellStyles count="2">
    <cellStyle name="Millares" xfId="1" builtinId="3"/>
    <cellStyle name="Normal" xfId="0" builtinId="0"/>
  </cellStyles>
  <dxfs count="278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Total por Mes (COP)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Costos'!$E$4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'Análisis Costos'!$A$5:$A$15</c:f>
              <c:numCache>
                <c:formatCode>mmm\ yyyy</c:formatCode>
                <c:ptCount val="11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</c:numCache>
            </c:numRef>
          </c:cat>
          <c:val>
            <c:numRef>
              <c:f>'Análisis Costos'!$E$5:$E$15</c:f>
              <c:numCache>
                <c:formatCode>"$"#,##0;\("$"#,##0\);\-</c:formatCode>
                <c:ptCount val="11"/>
                <c:pt idx="0">
                  <c:v>13646284</c:v>
                </c:pt>
                <c:pt idx="1">
                  <c:v>21764207.460000001</c:v>
                </c:pt>
                <c:pt idx="2">
                  <c:v>57100356.929999992</c:v>
                </c:pt>
                <c:pt idx="3">
                  <c:v>23382554.93</c:v>
                </c:pt>
                <c:pt idx="4">
                  <c:v>19090197.600000001</c:v>
                </c:pt>
                <c:pt idx="5">
                  <c:v>31541539.519999996</c:v>
                </c:pt>
                <c:pt idx="6">
                  <c:v>33790703.270000003</c:v>
                </c:pt>
                <c:pt idx="7">
                  <c:v>37258736.909999996</c:v>
                </c:pt>
                <c:pt idx="8">
                  <c:v>39089142.560000002</c:v>
                </c:pt>
                <c:pt idx="9">
                  <c:v>27344365.189999998</c:v>
                </c:pt>
                <c:pt idx="10">
                  <c:v>80016982.87999998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6-4F7A-99D9-C1FD9D65B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872751"/>
        <c:axId val="1967871311"/>
      </c:barChart>
      <c:dateAx>
        <c:axId val="196787275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7871311"/>
        <c:crosses val="autoZero"/>
        <c:auto val="1"/>
        <c:lblOffset val="100"/>
        <c:baseTimeUnit val="months"/>
      </c:dateAx>
      <c:valAx>
        <c:axId val="196787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787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1DE648-FD12-0AAF-B776-8E358C40B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Alcalá" refreshedDate="46155.694803124999" createdVersion="8" refreshedVersion="8" minRefreshableVersion="3" recordCount="553" xr:uid="{3AC5780D-399E-4C96-902E-6EA19DEDCEAE}">
  <cacheSource type="worksheet">
    <worksheetSource ref="A1:N554" sheet="Costos"/>
  </cacheSource>
  <cacheFields count="14">
    <cacheField name="TIPO" numFmtId="0">
      <sharedItems/>
    </cacheField>
    <cacheField name="CUFE/CUDE" numFmtId="0">
      <sharedItems/>
    </cacheField>
    <cacheField name="Folio" numFmtId="0">
      <sharedItems containsMixedTypes="1" containsNumber="1" containsInteger="1" minValue="2" maxValue="165317848"/>
    </cacheField>
    <cacheField name="Fecha Emisión" numFmtId="14">
      <sharedItems containsSemiMixedTypes="0" containsNonDate="0" containsDate="1" containsString="0" minDate="2025-02-13T00:00:00" maxDate="2025-12-31T00:00:00"/>
    </cacheField>
    <cacheField name="NIT Emisor" numFmtId="0">
      <sharedItems containsSemiMixedTypes="0" containsString="0" containsNumber="1" containsInteger="1" minValue="3486666" maxValue="1128404762" count="75">
        <n v="800091549"/>
        <n v="901649254"/>
        <n v="1003880015"/>
        <n v="70561688"/>
        <n v="900848266"/>
        <n v="3486666"/>
        <n v="900219834"/>
        <n v="830085336"/>
        <n v="901939945"/>
        <n v="811000784"/>
        <n v="830114921"/>
        <n v="901519900"/>
        <n v="700108357"/>
        <n v="901476410"/>
        <n v="901161479"/>
        <n v="901192317"/>
        <n v="900132642"/>
        <n v="900471052"/>
        <n v="900584970"/>
        <n v="900363864"/>
        <n v="890941794"/>
        <n v="901421223"/>
        <n v="901051870"/>
        <n v="93397337"/>
        <n v="900594706"/>
        <n v="900762275"/>
        <n v="900188685"/>
        <n v="900378652"/>
        <n v="901237330"/>
        <n v="900276962"/>
        <n v="900059238"/>
        <n v="70780282"/>
        <n v="900459737"/>
        <n v="800157387"/>
        <n v="901098244"/>
        <n v="890942360"/>
        <n v="900243750"/>
        <n v="901575358"/>
        <n v="43645742"/>
        <n v="900127810"/>
        <n v="901718849"/>
        <n v="91076199"/>
        <n v="900837483"/>
        <n v="890981683"/>
        <n v="900181068"/>
        <n v="800251569"/>
        <n v="890905080"/>
        <n v="900439301"/>
        <n v="901972453"/>
        <n v="901784030"/>
        <n v="901334425"/>
        <n v="901224934"/>
        <n v="8026157"/>
        <n v="900449084"/>
        <n v="1128404762"/>
        <n v="1128277256"/>
        <n v="901113791"/>
        <n v="70978458"/>
        <n v="901273723"/>
        <n v="901439094"/>
        <n v="901217437"/>
        <n v="901438120"/>
        <n v="32257553"/>
        <n v="71388800"/>
        <n v="901606621"/>
        <n v="890901352"/>
        <n v="901660770"/>
        <n v="900691421"/>
        <n v="890903407"/>
        <n v="800180330"/>
        <n v="901552737"/>
        <n v="900407508"/>
        <n v="900456873"/>
        <n v="830048145"/>
        <n v="901907732" u="1"/>
      </sharedItems>
    </cacheField>
    <cacheField name="Nombre Emisor" numFmtId="0">
      <sharedItems count="79">
        <s v="IMPRESISTEM S A S"/>
        <s v="JSA DISTRIBUCIONES S.A.S."/>
        <s v="PAEZ BALLESTEROS CESAR NICOLAS"/>
        <s v="DIEGO ALONSO MURILLO GUZMAN"/>
        <s v="CONSMO PC MAYORISTA S.A.S"/>
        <s v="RAMON ALCIDES CIFUENTES SERNA "/>
        <s v="F2X S.A.S."/>
        <s v="DIGITAL MTX SAS"/>
        <s v="JOTTAFOODS SAS"/>
        <s v="TERMINAL SUR DE MEDELLIN PH"/>
        <s v="COLOMBIA MOVIL S.A. ESP"/>
        <s v="DISTRITRINI S.A.S."/>
        <s v="STEFANO ZINNO"/>
        <s v="GRUPO LEDACOM SAS"/>
        <s v="IDT COLOMBIA SAS"/>
        <s v="SYSCOM COLOMBIA SAS"/>
        <s v="TIENDA MEDICA MEDELLIN SAS"/>
        <s v="EPAYCO.COM S.A.S"/>
        <s v="Grupo Control de Colombia S.A.S"/>
        <s v="SKY CORD S.A.S"/>
        <s v="FRANCISCO MURILLO S.A.S."/>
        <s v="ILUMINACIONES ANTIOQUIA SAS"/>
        <s v="D4 FIT WEAR S.A.S"/>
        <s v="KLEYMAN YONATHAN VERGARA GONZALEZ"/>
        <s v="PAPELES Y TINTAS PUNTO CLAVE SAS"/>
        <s v="GLOBAL-TEC S.A.S"/>
        <s v="ELECTROSERVIMOS S.A."/>
        <s v="JAL TECH SOLUCIONES S.A.S"/>
        <s v="SIGMAPLASTICOS MEDELLIN SAS"/>
        <s v="D1 S A S"/>
        <s v="MAKRO SUPERMAYORISTA S.A.S"/>
        <s v="JOSE ANGEL LOPEZ VILLA"/>
        <s v="GRUPO EDS AUTOGAS S.A.S"/>
        <s v="COMERCIALIZADORA MINIDELICIAS S.A.S."/>
        <s v="SIMBA SOFTWARE  SAS"/>
        <s v="TORTAS Y TORTAS S.A."/>
        <s v="INTERNATIONAL WINGS MEDELLIN S.A."/>
        <s v="CLOVER COMPANY S.A.S"/>
        <s v="ARBELAEZ GIRALDO GLORIA CRISTINA"/>
        <s v="ENCHAPES Y APLIQUES S.A."/>
        <s v="FCE COLOMBIA S A S"/>
        <s v="VARGAS MIRANDA LUIS FERNANDO"/>
        <s v="COPYVISION S.A.S."/>
        <s v="Corporación de fomento asistencial del Hospital Universitario San Vicente de Paúl"/>
        <s v="TYU IMPORTACIONES S.A."/>
        <s v="INTER RAPIDISIMO S.A"/>
        <s v="CAMARA DE COMERCIO DE MEDELLIN PARA ANTIOQUIA"/>
        <s v="INVERSIONES INT COLOMBIA SAS."/>
        <s v="TECNOVÍA SAS"/>
        <s v="BOMBA FOODS SAS"/>
        <s v="KASKEY COLOMBIA SAS"/>
        <s v="OPTILASSO S.A.S."/>
        <s v="ANDRES FELIPE VELEZ MUÑOZ"/>
        <s v="NSIT SAS"/>
        <s v="Bodega Digital Medellin"/>
        <s v="ARISTIZABAL GOMEZ JUAN DAVID"/>
        <s v="INVERSIONES PIGASUS SAS"/>
        <s v="PEREZ PEREZ JAIDER ESNEIDER"/>
        <s v="ENTRETENIMIENTO Y DIVERSION S.A.S"/>
        <s v="MASTECNOLOGÍA GROUP S.A.S"/>
        <s v="VIRTUAL TRONIC SAS"/>
        <s v="TECHNOLOGY FOR BUSINESS SAS"/>
        <s v="ROLDAN OLGA AMPARO"/>
        <s v="ARISTIZABAL SERNA DANIEL ALEJANDRO"/>
        <s v="LA VELERIA PARAFIN S.A.S."/>
        <s v="EL COLOMBIANO S.A.S."/>
        <s v="CRISPINO S.A.S."/>
        <s v="GASTRONOMIA Y EVENTOS EMPRESARIALES S.A.S."/>
        <s v="SEGUROS GENERALES SURAMERICANA S.A"/>
        <s v="COMPAÑIA DE ALIMENTOS COLOMBIANOS CALCO S.A.."/>
        <s v="GRAPHIC STORE SAS"/>
        <s v="WAP INGENIERIA S.A.S."/>
        <s v="ELECTRO METALICAS CEYGOM S.A.S."/>
        <s v="SIIGO S.A. S"/>
        <s v="TECNOTICS SAS" u="1"/>
        <s v="JSA DISTRIBUCIONES S.A.S. 01 00" u="1"/>
        <s v="BOMBA FOODS S.A.S." u="1"/>
        <s v="ENTRETENIMIENTO Y DIVERSIÓN S.A.S." u="1"/>
        <s v="TERMINAL SUR DE MEDELLIN P.H" u="1"/>
      </sharedItems>
    </cacheField>
    <cacheField name="NIT Receptor" numFmtId="0">
      <sharedItems containsSemiMixedTypes="0" containsString="0" containsNumber="1" containsInteger="1" minValue="901907732" maxValue="901907732"/>
    </cacheField>
    <cacheField name="Nombre Receptor" numFmtId="0">
      <sharedItems/>
    </cacheField>
    <cacheField name="SUBTOTAL" numFmtId="3">
      <sharedItems containsSemiMixedTypes="0" containsString="0" containsNumber="1" minValue="-369000" maxValue="19733503"/>
    </cacheField>
    <cacheField name="IVA" numFmtId="3">
      <sharedItems containsSemiMixedTypes="0" containsString="0" containsNumber="1" minValue="-35764.080000000002" maxValue="3061697.24"/>
    </cacheField>
    <cacheField name="IC" numFmtId="3">
      <sharedItems containsSemiMixedTypes="0" containsString="0" containsNumber="1" containsInteger="1" minValue="0" maxValue="4260"/>
    </cacheField>
    <cacheField name="INC" numFmtId="3">
      <sharedItems containsSemiMixedTypes="0" containsString="0" containsNumber="1" minValue="0" maxValue="36103.699999999997"/>
    </cacheField>
    <cacheField name="INC Bolsas" numFmtId="3">
      <sharedItems containsSemiMixedTypes="0" containsString="0" containsNumber="1" containsInteger="1" minValue="0" maxValue="159"/>
    </cacheField>
    <cacheField name="Total" numFmtId="3">
      <sharedItems containsSemiMixedTypes="0" containsString="0" containsNumber="1" minValue="-369000" maxValue="197335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Alcalá" refreshedDate="46167.713559374999" createdVersion="8" refreshedVersion="8" minRefreshableVersion="3" recordCount="341" xr:uid="{3BD34F74-8B7B-4A6E-8508-0B2742ABB20C}">
  <cacheSource type="worksheet">
    <worksheetSource ref="A1:N342" sheet="ingresos"/>
  </cacheSource>
  <cacheFields count="14">
    <cacheField name="TIPO" numFmtId="0">
      <sharedItems count="2">
        <s v="Factura electrónica"/>
        <s v="Nota de crédito electrónica"/>
      </sharedItems>
    </cacheField>
    <cacheField name="CUFE/CUDE" numFmtId="0">
      <sharedItems/>
    </cacheField>
    <cacheField name="Folio" numFmtId="0">
      <sharedItems containsMixedTypes="1" containsNumber="1" containsInteger="1" minValue="1" maxValue="317"/>
    </cacheField>
    <cacheField name="Fecha Emisión" numFmtId="14">
      <sharedItems containsSemiMixedTypes="0" containsNonDate="0" containsDate="1" containsString="0" minDate="2025-03-06T00:00:00" maxDate="2025-12-31T00:00:00"/>
    </cacheField>
    <cacheField name="NIT Emisor" numFmtId="0">
      <sharedItems containsSemiMixedTypes="0" containsString="0" containsNumber="1" containsInteger="1" minValue="901907732" maxValue="901907732"/>
    </cacheField>
    <cacheField name="Nombre Emisor" numFmtId="0">
      <sharedItems/>
    </cacheField>
    <cacheField name="NIT Receptor" numFmtId="0">
      <sharedItems containsSemiMixedTypes="0" containsString="0" containsNumber="1" containsInteger="1" minValue="21993269" maxValue="901931446" count="43">
        <n v="811026805"/>
        <n v="900208742"/>
        <n v="811044610"/>
        <n v="901495799"/>
        <n v="830087371"/>
        <n v="901774691"/>
        <n v="900383497"/>
        <n v="901884325"/>
        <n v="117142370"/>
        <n v="900643097"/>
        <n v="811017918"/>
        <n v="901193232"/>
        <n v="901225179"/>
        <n v="900983772"/>
        <n v="900688446"/>
        <n v="860022343"/>
        <n v="811000784"/>
        <n v="901105552"/>
        <n v="98532400"/>
        <n v="900779955"/>
        <n v="901428649"/>
        <n v="901446911"/>
        <n v="901094323"/>
        <n v="900727888"/>
        <n v="900842157"/>
        <n v="21993269"/>
        <n v="901931446"/>
        <n v="890935751"/>
        <n v="811035110"/>
        <n v="901586731"/>
        <n v="900825963"/>
        <n v="901799676"/>
        <n v="890911898"/>
        <n v="900177076"/>
        <n v="901174894"/>
        <n v="901805601"/>
        <n v="890910970"/>
        <n v="901344156"/>
        <n v="901196517"/>
        <n v="890931488"/>
        <n v="900742678"/>
        <n v="901897598"/>
        <n v="890932241"/>
      </sharedItems>
    </cacheField>
    <cacheField name="Nombre Receptor" numFmtId="0">
      <sharedItems count="43">
        <s v="PANACAMBIOS Y CIA LTDA"/>
        <s v="MAGNISEGUROS ASESORES EN SEGUROS  LIMITADA"/>
        <s v="INGENIERIA HOSPITALARIA S.A.S"/>
        <s v="LUSEO COLOMBIA S.A.S"/>
        <s v="TRANSPORTE ESPECIAL RUTA 07 S.A.S."/>
        <s v="TIERRAFRIA ARQUITECTURA S.A.S"/>
        <s v="INATHA S.A.S."/>
        <s v="MEDELL?N DEVELOPMENT ECOSYSTEM S.A.S."/>
        <s v="Daniel Alejandro Martinez Velez"/>
        <s v="HEMOGROUP S.A.S"/>
        <s v="FUMIAGRO S.A.S."/>
        <s v="SIMA TECH SAS"/>
        <s v="INNOVACIÓN ESTRATÉGICA - INNOVATE S.A.S."/>
        <s v="VIBART DENTAL CLINIC"/>
        <s v="CONSTRUREDES GRUPO GOMEZ"/>
        <s v="CONGREGACION SANTO DOMINGO"/>
        <s v="TERMINAL DEL SUR DE MEDELLIN PH"/>
        <s v="24 H SERVICES S.A.S"/>
        <s v="Juan David Sánchez López"/>
        <s v="COMERCIALIZADORA INTERNACIONAL EXUN S.A.S"/>
        <s v="ELECTROMANTENIMIENTO A.C S.A.S"/>
        <s v="DALIAS GROUP S.A.S."/>
        <s v="GIGA ELECTROINGENIERIA SAS"/>
        <s v="ARRENDAMIENTOS PANORAMA LOS COLORES SAS"/>
        <s v="GRUPO ODONTOLÓGICO SMILE S.A.S"/>
        <s v="I.E El Rosario de Bello"/>
        <s v="Compropósito SAS"/>
        <s v="LENTES DE CONTACTO S.A.S."/>
        <s v="CI Global Exchange SAS"/>
        <s v="SOPORTES TECHNOLOGY SAS"/>
        <s v="IDINNOV S.A.S."/>
        <s v="Sales Rain Sas"/>
        <s v="Stop SAS"/>
        <s v="vista norte sas"/>
        <s v="GILESA SAS"/>
        <s v="NUESTRA HOUSE SAS"/>
        <s v="TRANSPORTES JERICO, PUEBLORICO, TARSO S.A.S."/>
        <s v="TRANS CONCORD TRAVEL S.A.S"/>
        <s v="Mas 3 Inmobiliaria SAS"/>
        <s v="CENTRO COMERCIAL VILLANUEVA P.H."/>
        <s v="LIFEHEALTH UNIVERSAL EXPORT SAS"/>
        <s v="MACROLAB ZONA FRANCA S.A.S."/>
        <s v="TECNIQUIMICASA"/>
      </sharedItems>
    </cacheField>
    <cacheField name="SUBTOTAL" numFmtId="3">
      <sharedItems containsSemiMixedTypes="0" containsString="0" containsNumber="1" minValue="-16875000" maxValue="27069164"/>
    </cacheField>
    <cacheField name="IVA" numFmtId="3">
      <sharedItems containsSemiMixedTypes="0" containsString="0" containsNumber="1" minValue="-278877.06" maxValue="5143141.16"/>
    </cacheField>
    <cacheField name="IC" numFmtId="3">
      <sharedItems containsSemiMixedTypes="0" containsString="0" containsNumber="1" containsInteger="1" minValue="0" maxValue="0"/>
    </cacheField>
    <cacheField name="INC" numFmtId="3">
      <sharedItems containsSemiMixedTypes="0" containsString="0" containsNumber="1" containsInteger="1" minValue="0" maxValue="0"/>
    </cacheField>
    <cacheField name="INC Bolsas" numFmtId="3">
      <sharedItems containsSemiMixedTypes="0" containsString="0" containsNumber="1" containsInteger="1" minValue="0" maxValue="0"/>
    </cacheField>
    <cacheField name="Total" numFmtId="3">
      <sharedItems containsSemiMixedTypes="0" containsString="0" containsNumber="1" minValue="-16875000" maxValue="32212305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">
  <r>
    <s v="Factura electrónica"/>
    <s v="e28c09b7699f692230f516beb9b2781f68209a3b04f9b0fc7cba231a8d521792b9fed3c89292e12ed5b4b7b13002d8be"/>
    <n v="595069"/>
    <d v="2025-12-30T00:00:00"/>
    <x v="0"/>
    <x v="0"/>
    <n v="901907732"/>
    <s v="TECNOTICS S.A.S."/>
    <n v="289879"/>
    <n v="55077"/>
    <n v="0"/>
    <n v="0"/>
    <n v="0"/>
    <n v="344956"/>
  </r>
  <r>
    <s v="Factura electrónica"/>
    <s v="ebe95ec7444370efd7a552502fcf29930fcfece6b2b1d8f4d2bdaf209f7425942e2d46552cfa1e06394fe23d108c770b"/>
    <n v="954"/>
    <d v="2025-12-30T00:00:00"/>
    <x v="1"/>
    <x v="1"/>
    <n v="901907732"/>
    <s v="TECNOTICS S.A.S."/>
    <n v="16114195.999999998"/>
    <n v="3061697.24"/>
    <n v="0"/>
    <n v="0"/>
    <n v="0"/>
    <n v="19175893.239999998"/>
  </r>
  <r>
    <s v="Factura electrónica"/>
    <s v="c76dc187c2f78bd833cb701d006628ee54dc3ba62b7136fb89cea1222ed9b2f098fb48ba326cf3b0969a9198987e28c5"/>
    <n v="83"/>
    <d v="2025-12-30T00:00:00"/>
    <x v="2"/>
    <x v="2"/>
    <n v="901907732"/>
    <s v="TECNOTICS SAS"/>
    <n v="80000"/>
    <n v="0"/>
    <n v="0"/>
    <n v="0"/>
    <n v="0"/>
    <n v="80000"/>
  </r>
  <r>
    <s v="Factura electrónica"/>
    <s v="74b000d75141dc8628c2ba82f6be3da8f1cc9a8bbd76957206b138ac2ad60702b87b4c85cdc7c156f46f2675b65e4561"/>
    <n v="2961"/>
    <d v="2025-12-29T00:00:00"/>
    <x v="3"/>
    <x v="3"/>
    <n v="901907732"/>
    <s v="TECNOTICS SAS"/>
    <n v="16000"/>
    <n v="3040"/>
    <n v="0"/>
    <n v="0"/>
    <n v="0"/>
    <n v="19040"/>
  </r>
  <r>
    <s v="Factura electrónica"/>
    <s v="df22eb1c87b063255405c75c901219dbff066c1a68594d36f17f5bf36a866d7f7d289b55d3f96a12a5318727d0fd30ae"/>
    <n v="79837"/>
    <d v="2025-12-29T00:00:00"/>
    <x v="4"/>
    <x v="4"/>
    <n v="901907732"/>
    <s v="TECNOTICS SAS"/>
    <n v="20000"/>
    <n v="3800"/>
    <n v="0"/>
    <n v="0"/>
    <n v="0"/>
    <n v="23800"/>
  </r>
  <r>
    <s v="Factura electrónica"/>
    <s v="6c5a072ec87f3488df2a1c0dcbfad8165fa8b384868fe403bab6c3dc7cf99f108e7b4ce5bf1fd8b8fc806f97f19a37f8"/>
    <n v="4256"/>
    <d v="2025-12-29T00:00:00"/>
    <x v="5"/>
    <x v="5"/>
    <n v="901907732"/>
    <s v="TECNOTICS SAS"/>
    <n v="20000"/>
    <n v="0"/>
    <n v="0"/>
    <n v="0"/>
    <n v="0"/>
    <n v="20000"/>
  </r>
  <r>
    <s v="Factura electrónica"/>
    <s v="9ecf7a065b0598de8815ebdab0a1a977eb6b2e49ef4891d8d866f7490009f8add0399b551298eff88151de53c282fee4"/>
    <n v="729528"/>
    <d v="2025-12-24T00:00:00"/>
    <x v="6"/>
    <x v="6"/>
    <n v="901907732"/>
    <s v="Tecnotics S.A.S"/>
    <n v="3781.51"/>
    <n v="718.49"/>
    <n v="0"/>
    <n v="0"/>
    <n v="0"/>
    <n v="4500"/>
  </r>
  <r>
    <s v="Factura electrónica"/>
    <s v="b10c4fc37a4d66b8c8e3ba04389cb2cc95669bf3fa36c9a6d5b43d0f2776a3a661f4b711f8be659c870db28286e2dae4"/>
    <n v="720444"/>
    <d v="2025-12-23T00:00:00"/>
    <x v="6"/>
    <x v="6"/>
    <n v="901907732"/>
    <s v="Tecnotics S.A.S"/>
    <n v="3781.51"/>
    <n v="718.49"/>
    <n v="0"/>
    <n v="0"/>
    <n v="0"/>
    <n v="4500"/>
  </r>
  <r>
    <s v="Documento equivalente - Cobro de peajes"/>
    <s v="4cc16ba17f6702d3cdbbbce7fcd53948b186663c63ce33f0f849c999f2adea320a4de4d5a45692a381fad43f8c10982c"/>
    <n v="75584379"/>
    <d v="2025-12-23T00:00:00"/>
    <x v="6"/>
    <x v="6"/>
    <n v="901907732"/>
    <s v="Tecnotics S.A.S "/>
    <n v="25000"/>
    <n v="0"/>
    <n v="0"/>
    <n v="0"/>
    <n v="0"/>
    <n v="25000"/>
  </r>
  <r>
    <s v="Documento equivalente - Cobro de peajes"/>
    <s v="57a1dded2b2cc9efb7d6f48f4d0c9d6967087a8982e1148b1c06f260d81ecab36291300288c903eb43700c0471b12383"/>
    <n v="75544794"/>
    <d v="2025-12-23T00:00:00"/>
    <x v="6"/>
    <x v="6"/>
    <n v="901907732"/>
    <s v="Tecnotics S.A.S "/>
    <n v="25000"/>
    <n v="0"/>
    <n v="0"/>
    <n v="0"/>
    <n v="0"/>
    <n v="25000"/>
  </r>
  <r>
    <s v="Factura electrónica"/>
    <s v="7fd460ab1ee66ef439559490c092235e92215e22771a1274081de0ee4558dff68aa3b0e51e4038ee2f384b36cbe7d046"/>
    <n v="907"/>
    <d v="2025-12-23T00:00:00"/>
    <x v="1"/>
    <x v="1"/>
    <n v="901907732"/>
    <s v="TECNOTICS S.A.S."/>
    <n v="2338676.4500000002"/>
    <n v="444348.53"/>
    <n v="0"/>
    <n v="0"/>
    <n v="0"/>
    <n v="2783024.98"/>
  </r>
  <r>
    <s v="Factura electrónica"/>
    <s v="d2d556c9e420610eb62d728be7080a820149b06428682cef711712df243d5848d1ce21af6592f412ed76e716baab0541"/>
    <n v="703430"/>
    <d v="2025-12-23T00:00:00"/>
    <x v="6"/>
    <x v="6"/>
    <n v="901907732"/>
    <s v="Tecnotics S.A.S"/>
    <n v="3361.35"/>
    <n v="638.65"/>
    <n v="0"/>
    <n v="0"/>
    <n v="0"/>
    <n v="4000"/>
  </r>
  <r>
    <s v="Factura electrónica"/>
    <s v="3c9f76ec9320895f4d05c94898dbc5f18fefb6efe8fa52cb8c66d9d7111a172f33bbb12f19863dc9158bbb1b6e9ef778"/>
    <n v="81020"/>
    <d v="2025-12-22T00:00:00"/>
    <x v="7"/>
    <x v="7"/>
    <n v="901907732"/>
    <s v="Tecnotics S.A.S"/>
    <n v="92436.98"/>
    <n v="17563.03"/>
    <n v="0"/>
    <n v="0"/>
    <n v="0"/>
    <n v="110000.01"/>
  </r>
  <r>
    <s v="Factura electrónica"/>
    <s v="eabc7bf87539ba54b731da5a41bb192b93ad7018d2f843c16100ed6181f037ba95ff174974bdbeba0038039d91432166"/>
    <n v="691465"/>
    <d v="2025-12-22T00:00:00"/>
    <x v="6"/>
    <x v="6"/>
    <n v="901907732"/>
    <s v="Tecnotics S.A.S"/>
    <n v="3361.35"/>
    <n v="638.65"/>
    <n v="0"/>
    <n v="0"/>
    <n v="0"/>
    <n v="4000"/>
  </r>
  <r>
    <s v="Factura electrónica"/>
    <s v="041bb1d29981ef33536142666e4e7aacf95f41a0ee2eedf635ca76ec3af125550a13dafb87d44ed257ced5d6052ab75e"/>
    <n v="897"/>
    <d v="2025-12-22T00:00:00"/>
    <x v="1"/>
    <x v="1"/>
    <n v="901907732"/>
    <s v="TECNOTICS S.A.S."/>
    <n v="3743697.42"/>
    <n v="711302.51"/>
    <n v="0"/>
    <n v="0"/>
    <n v="0"/>
    <n v="4454999.93"/>
  </r>
  <r>
    <s v="Factura electrónica"/>
    <s v="32ba76ef8b9a823b93d1bbed38ada01ddbc86f9195b56694255776a525bba0d7c30acb4329f765bcf03f5d6e5db8b4ca"/>
    <n v="95"/>
    <d v="2025-12-22T00:00:00"/>
    <x v="8"/>
    <x v="8"/>
    <n v="901907732"/>
    <s v="TECNOTICS SAS"/>
    <n v="197075.65"/>
    <n v="35924.370000000003"/>
    <n v="0"/>
    <n v="0"/>
    <n v="0"/>
    <n v="233000.02"/>
  </r>
  <r>
    <s v="Factura electrónica"/>
    <s v="2f41718d7281099d4b93ced51de5a20fa563c31b02e68bb45bff5b34b4aed25eea9a5efdfbb9a311572ab02fc5a37ab8"/>
    <n v="153607"/>
    <d v="2025-12-22T00:00:00"/>
    <x v="9"/>
    <x v="9"/>
    <n v="901907732"/>
    <s v="TECNO TIC SAS "/>
    <n v="96638.66"/>
    <n v="18361.34"/>
    <n v="0"/>
    <n v="0"/>
    <n v="0"/>
    <n v="115000"/>
  </r>
  <r>
    <s v="Factura electrónica"/>
    <s v="7940ce23bc63073bc33650b76ad217dbcfd6f9bdd09b13ddb42600ebe072b3d622a1b7644167b35357197f42363434f9"/>
    <n v="165317848"/>
    <d v="2025-12-22T00:00:00"/>
    <x v="10"/>
    <x v="10"/>
    <n v="901907732"/>
    <s v="TECNOTICS  SAS"/>
    <n v="97975.78"/>
    <n v="18615.39"/>
    <n v="0"/>
    <n v="1848.83"/>
    <n v="0"/>
    <n v="118440"/>
  </r>
  <r>
    <s v="Factura electrónica"/>
    <s v="277e8890d3b1425a8d913f71b43a8e0785c5fd24c7c80c85e50fa6797180b61979362be93ae8015035ef5fe97a8d0ec5"/>
    <n v="165155662"/>
    <d v="2025-12-21T00:00:00"/>
    <x v="10"/>
    <x v="10"/>
    <n v="901907732"/>
    <s v="TECNOTICS SAS  TECNOTICS SAS"/>
    <n v="10.98"/>
    <n v="2.02"/>
    <n v="0"/>
    <n v="0"/>
    <n v="0"/>
    <n v="13"/>
  </r>
  <r>
    <s v="Factura electrónica"/>
    <s v="6a005d5090c81b20183477e677aef8294cdd5af3bdc07c059163d9bb668ace362499a5e918ca7812f1a11a721434c7ad"/>
    <n v="165155530"/>
    <d v="2025-12-21T00:00:00"/>
    <x v="10"/>
    <x v="10"/>
    <n v="901907732"/>
    <s v="TECNOTICS   SAS"/>
    <n v="68581.100000000006"/>
    <n v="13030.36"/>
    <n v="0"/>
    <n v="1188.54"/>
    <n v="0"/>
    <n v="82800"/>
  </r>
  <r>
    <s v="Factura electrónica"/>
    <s v="2cb2bac2b28335a4bc7a246d9e2b00e3aeb2340c082226452f99aa7061857c71ac75c98c7e9040b277a81d26636c575e"/>
    <n v="891"/>
    <d v="2025-12-20T00:00:00"/>
    <x v="1"/>
    <x v="1"/>
    <n v="901907732"/>
    <s v="TECNOTICS S.A.S."/>
    <n v="3195376.2"/>
    <n v="607121.48"/>
    <n v="0"/>
    <n v="0"/>
    <n v="0"/>
    <n v="3802497.68"/>
  </r>
  <r>
    <s v="Factura electrónica"/>
    <s v="8a172384d943fb0d33d3fa87520a4751c3437673ab345908d3acf0091cfa95ee5cbdb73013499c5679012b9f8e859fa6"/>
    <n v="8054"/>
    <d v="2025-12-19T00:00:00"/>
    <x v="11"/>
    <x v="11"/>
    <n v="901907732"/>
    <s v="TECNOTICS SAS"/>
    <n v="131092.44"/>
    <n v="24907.56"/>
    <n v="0"/>
    <n v="0"/>
    <n v="0"/>
    <n v="156000"/>
  </r>
  <r>
    <s v="Factura electrónica"/>
    <s v="f5f77d4ac7f0c7f64966ffdf96e444d8914e46c20d461975e20b4e616502fbe33434afef8f84f6b4a0d20af4bf5e0e90"/>
    <n v="883"/>
    <d v="2025-12-19T00:00:00"/>
    <x v="1"/>
    <x v="1"/>
    <n v="901907732"/>
    <s v="TECNOTICS S.A.S."/>
    <n v="1860083.58"/>
    <n v="353415.88"/>
    <n v="0"/>
    <n v="0"/>
    <n v="0"/>
    <n v="2213499.46"/>
  </r>
  <r>
    <s v="Factura electrónica"/>
    <s v="bfb6492b1b4dcfa1697749cfd7a4e98e7ac345596f7f4cb993566495e8ce4d0558f06e3b8f7b7ae5e649e3a0c93ee08f"/>
    <n v="13206"/>
    <d v="2025-12-19T00:00:00"/>
    <x v="12"/>
    <x v="12"/>
    <n v="901907732"/>
    <s v="TECNOTICS S.A.S."/>
    <n v="235500"/>
    <n v="0"/>
    <n v="0"/>
    <n v="0"/>
    <n v="0"/>
    <n v="235500"/>
  </r>
  <r>
    <s v="Factura electrónica"/>
    <s v="c667311bba11f05ee0a408284e735fade9e833041d55eb2bce7eef4419c9fc195229683221f9027c81b5fe65d45a3888"/>
    <n v="17846"/>
    <d v="2025-12-19T00:00:00"/>
    <x v="13"/>
    <x v="13"/>
    <n v="901907732"/>
    <s v="TECNOTICS SAS"/>
    <n v="24706"/>
    <n v="4694"/>
    <n v="0"/>
    <n v="0"/>
    <n v="0"/>
    <n v="29400"/>
  </r>
  <r>
    <s v="Factura electrónica"/>
    <s v="17af339e7b8e6d79d6ec114bc963c755a1696df827b77c87671d6b1fbdd1fe745ce97108e33af4d1db2f2c1c5de81517"/>
    <n v="874"/>
    <d v="2025-12-18T00:00:00"/>
    <x v="1"/>
    <x v="1"/>
    <n v="901907732"/>
    <s v="TECNOTICS S.A.S."/>
    <n v="3632352.8499999996"/>
    <n v="690147.04"/>
    <n v="0"/>
    <n v="0"/>
    <n v="0"/>
    <n v="4322499.8899999997"/>
  </r>
  <r>
    <s v="Factura electrónica"/>
    <s v="5cc10645d6fa08e426da11dd5ae7525a36fa5ef01e3a532966bdf03093318c88a6385b43842c73bf14ad5168af1c8fde"/>
    <n v="33384"/>
    <d v="2025-12-17T00:00:00"/>
    <x v="14"/>
    <x v="14"/>
    <n v="901907732"/>
    <s v="TECNOTICS SAS"/>
    <n v="2037560"/>
    <n v="387136.4"/>
    <n v="0"/>
    <n v="0"/>
    <n v="0"/>
    <n v="2424696.4"/>
  </r>
  <r>
    <s v="Factura electrónica"/>
    <s v="a4b89aef16f675b32b5b37561dd7e98e2799be236e8e588b48664298280a247a7bb4a7de6bf924da22c4786951db3b67"/>
    <n v="592685"/>
    <d v="2025-12-17T00:00:00"/>
    <x v="0"/>
    <x v="0"/>
    <n v="901907732"/>
    <s v="TECNOTICS S.A.S."/>
    <n v="1612896"/>
    <n v="0"/>
    <n v="0"/>
    <n v="0"/>
    <n v="0"/>
    <n v="1612896"/>
  </r>
  <r>
    <s v="Factura electrónica"/>
    <s v="c8928927314f4ab63f8d04b887e99be5a61b1f85212c8ba9c0d34a540553c516e5d4aeff2a42dcea04e36b9e981b1253"/>
    <n v="592620"/>
    <d v="2025-12-17T00:00:00"/>
    <x v="0"/>
    <x v="0"/>
    <n v="901907732"/>
    <s v="TECNOTICS S.A.S."/>
    <n v="311728"/>
    <n v="0"/>
    <n v="0"/>
    <n v="0"/>
    <n v="0"/>
    <n v="311728"/>
  </r>
  <r>
    <s v="Factura electrónica"/>
    <s v="8902454e8f65653647b70196e12a1c6c7f26dfd079d1b062d5f757acbc8c5de760eb478ddf8b9f8b8266431e6b840396"/>
    <n v="592619"/>
    <d v="2025-12-17T00:00:00"/>
    <x v="0"/>
    <x v="0"/>
    <n v="901907732"/>
    <s v="TECNOTICS S.A.S."/>
    <n v="468383"/>
    <n v="0"/>
    <n v="0"/>
    <n v="0"/>
    <n v="0"/>
    <n v="468383"/>
  </r>
  <r>
    <s v="Factura electrónica"/>
    <s v="936fbeea12c8b3d8db4cc8560cd8dc3af4babfa992f7d1406d03b7e136b025c9669e366ec68bf0846da96ba8197ba39d"/>
    <n v="592618"/>
    <d v="2025-12-17T00:00:00"/>
    <x v="0"/>
    <x v="0"/>
    <n v="901907732"/>
    <s v="TECNOTICS S.A.S."/>
    <n v="548978"/>
    <n v="0"/>
    <n v="0"/>
    <n v="0"/>
    <n v="0"/>
    <n v="548978"/>
  </r>
  <r>
    <s v="Factura electrónica"/>
    <s v="5d85a4d682574ddd2fccf652aa7bb7a72704e8dfeb6a70549f873e347973b58fe59b9447edd5748d4b19dee7a935bf87"/>
    <n v="592616"/>
    <d v="2025-12-17T00:00:00"/>
    <x v="0"/>
    <x v="0"/>
    <n v="901907732"/>
    <s v="TECNOTICS S.A.S."/>
    <n v="229559"/>
    <n v="0"/>
    <n v="0"/>
    <n v="0"/>
    <n v="0"/>
    <n v="229559"/>
  </r>
  <r>
    <s v="Factura electrónica"/>
    <s v="e902586e468724baa9edf3198828b5babda7c8fc21eb03e4ed0449b0bff2ccf437753d64e3fe2025737708816a967e57"/>
    <n v="592615"/>
    <d v="2025-12-17T00:00:00"/>
    <x v="0"/>
    <x v="0"/>
    <n v="901907732"/>
    <s v="TECNOTICS S.A.S."/>
    <n v="135780"/>
    <n v="0"/>
    <n v="0"/>
    <n v="0"/>
    <n v="0"/>
    <n v="135780"/>
  </r>
  <r>
    <s v="Factura electrónica"/>
    <s v="2ecb4b0dd903a151cb1d8f902887b62e5dd5702e7bb2d1c937d3eb2494872bc639a915c5cf8b9823951750d85d6ec6dc"/>
    <n v="592614"/>
    <d v="2025-12-17T00:00:00"/>
    <x v="0"/>
    <x v="0"/>
    <n v="901907732"/>
    <s v="TECNOTICS S.A.S."/>
    <n v="23266"/>
    <n v="0"/>
    <n v="0"/>
    <n v="0"/>
    <n v="0"/>
    <n v="23266"/>
  </r>
  <r>
    <s v="Factura electrónica"/>
    <s v="1ab8767e4d089fdfb38c23fc5cb39a184f0c6bd75d49c2999870943ff6d4666f634e74e97cc570ad72607859e2d03ebf"/>
    <n v="592612"/>
    <d v="2025-12-17T00:00:00"/>
    <x v="0"/>
    <x v="0"/>
    <n v="901907732"/>
    <s v="TECNOTICS S.A.S."/>
    <n v="332984"/>
    <n v="0"/>
    <n v="0"/>
    <n v="0"/>
    <n v="0"/>
    <n v="332984"/>
  </r>
  <r>
    <s v="Factura electrónica"/>
    <s v="96fbd8d6a63b72e65f74927a50984d8283be221b2fbbd25c319fb840cf9599770dcff690cd2e3c647c82a213a64591f1"/>
    <n v="592611"/>
    <d v="2025-12-17T00:00:00"/>
    <x v="0"/>
    <x v="0"/>
    <n v="901907732"/>
    <s v="TECNOTICS S.A.S."/>
    <n v="763843"/>
    <n v="0"/>
    <n v="0"/>
    <n v="0"/>
    <n v="0"/>
    <n v="763843"/>
  </r>
  <r>
    <s v="Factura electrónica"/>
    <s v="c259c6c915e70f1e1a6a4aca7e24eb5d1e8bf2c0da3b6819d0042501bd39298cc74d07b17bd50798fcee2ae4bba7e0b5"/>
    <n v="592610"/>
    <d v="2025-12-17T00:00:00"/>
    <x v="0"/>
    <x v="0"/>
    <n v="901907732"/>
    <s v="TECNOTICS S.A.S."/>
    <n v="127294"/>
    <n v="0"/>
    <n v="0"/>
    <n v="0"/>
    <n v="0"/>
    <n v="127294"/>
  </r>
  <r>
    <s v="Factura electrónica"/>
    <s v="92af283ab338e5556d13cf40b686a3ccd14a969be44081ed41b13b6de82d85cf03bd21b24d1657ffbbf6292af5ad20bf"/>
    <n v="592609"/>
    <d v="2025-12-17T00:00:00"/>
    <x v="0"/>
    <x v="0"/>
    <n v="901907732"/>
    <s v="TECNOTICS S.A.S."/>
    <n v="808214"/>
    <n v="0"/>
    <n v="0"/>
    <n v="0"/>
    <n v="0"/>
    <n v="808214"/>
  </r>
  <r>
    <s v="Factura electrónica"/>
    <s v="227f3a918fb5179ad66a30e28982e11cc6f4ecf3d0b4143c9980deda33fb2a5d731edcc09784aadcfea8738b5dd530af"/>
    <n v="592608"/>
    <d v="2025-12-17T00:00:00"/>
    <x v="0"/>
    <x v="0"/>
    <n v="901907732"/>
    <s v="TECNOTICS S.A.S."/>
    <n v="232668"/>
    <n v="0"/>
    <n v="0"/>
    <n v="0"/>
    <n v="0"/>
    <n v="232668"/>
  </r>
  <r>
    <s v="Factura electrónica"/>
    <s v="470073b8c574ed979561d7493287fe91515159c3a7428efd47d908ef38b46a50505b90401e4b793ceb1aba5826fedf6c"/>
    <n v="592606"/>
    <d v="2025-12-17T00:00:00"/>
    <x v="0"/>
    <x v="0"/>
    <n v="901907732"/>
    <s v="TECNOTICS S.A.S."/>
    <n v="3346601"/>
    <n v="0"/>
    <n v="0"/>
    <n v="0"/>
    <n v="0"/>
    <n v="3346601"/>
  </r>
  <r>
    <s v="Factura electrónica"/>
    <s v="c513083f3eabb714fe92a388926087f8cd0feb3c5ffef9425da00718eb112c310867d8ec33805b21f4c74deeaa6bbd44"/>
    <n v="865"/>
    <d v="2025-12-17T00:00:00"/>
    <x v="1"/>
    <x v="1"/>
    <n v="901907732"/>
    <s v="TECNOTICS S.A.S."/>
    <n v="4663865.4000000004"/>
    <n v="886134.43"/>
    <n v="0"/>
    <n v="0"/>
    <n v="0"/>
    <n v="5549999.8300000001"/>
  </r>
  <r>
    <s v="Factura electrónica"/>
    <s v="1d66fb937c515c7e7d4ff6b8fd4a1d1dd8b821dfa0c54eab3a325df0aad6c56924fc05183cb87aaa93b7016fe7565a0c"/>
    <n v="199201"/>
    <d v="2025-12-16T00:00:00"/>
    <x v="15"/>
    <x v="15"/>
    <n v="901907732"/>
    <s v="TECNOTICS SAS"/>
    <n v="409206.89"/>
    <n v="77750"/>
    <n v="0"/>
    <n v="0"/>
    <n v="0"/>
    <n v="486956.89"/>
  </r>
  <r>
    <s v="Factura electrónica"/>
    <s v="d28ace13c4a419876f395a9a101ec107e45f67956668ce1a9665a47e04e5af4da2f245544f01c5799eccfb9f1ef7fef0"/>
    <n v="591876"/>
    <d v="2025-12-15T00:00:00"/>
    <x v="0"/>
    <x v="0"/>
    <n v="901907732"/>
    <s v="TECNOTICS S.A.S."/>
    <n v="453800"/>
    <n v="0"/>
    <n v="0"/>
    <n v="0"/>
    <n v="0"/>
    <n v="453800"/>
  </r>
  <r>
    <s v="Factura electrónica"/>
    <s v="e3105269fa29f28aa328a751b70a3eeae97ec53f91ba379a1a747a9d598c321775c30190b9a39a5f2bac1186d02630bc"/>
    <n v="95882"/>
    <d v="2025-12-15T00:00:00"/>
    <x v="16"/>
    <x v="16"/>
    <n v="901907732"/>
    <s v="TECNOTICS SAS"/>
    <n v="30250"/>
    <n v="5747.5"/>
    <n v="0"/>
    <n v="0"/>
    <n v="0"/>
    <n v="35997.5"/>
  </r>
  <r>
    <s v="Factura electrónica"/>
    <s v="4760489a7589d74736840b2b3df02cbe4a952e2eb72ab66153bf7d89114cde3fba9e378ababb362d6b0113910fdfe124"/>
    <n v="858"/>
    <d v="2025-12-15T00:00:00"/>
    <x v="1"/>
    <x v="1"/>
    <n v="901907732"/>
    <s v="TECNOTICS S.A.S."/>
    <n v="3516924.8"/>
    <n v="668215.72"/>
    <n v="0"/>
    <n v="0"/>
    <n v="0"/>
    <n v="4185140.52"/>
  </r>
  <r>
    <s v="Factura electrónica"/>
    <s v="16bd46facaeb5418a2464550bc296ff0af541baa025c77de5ce87e1932d09b215b8882416dfd05007a45f85617c73970"/>
    <n v="340690"/>
    <d v="2025-12-15T00:00:00"/>
    <x v="17"/>
    <x v="17"/>
    <n v="901907732"/>
    <s v="TECNOTISC SAS"/>
    <n v="69900"/>
    <n v="0"/>
    <n v="0"/>
    <n v="0"/>
    <n v="0"/>
    <n v="69900"/>
  </r>
  <r>
    <s v="Factura electrónica"/>
    <s v="18a7aa7e12dca3113fa383cb6a13722c1414f9fb79f9c52236bf83398ef50608c6b35d2a6e36407d3638acacf934891e"/>
    <n v="118661"/>
    <d v="2025-12-13T00:00:00"/>
    <x v="18"/>
    <x v="18"/>
    <n v="901907732"/>
    <s v="TECNOTICS SAS"/>
    <n v="64694"/>
    <n v="12292"/>
    <n v="0"/>
    <n v="0"/>
    <n v="0"/>
    <n v="76986"/>
  </r>
  <r>
    <s v="Factura electrónica"/>
    <s v="1691bb86ad7c40dec28cc6cbcf5676a4439c2c6ac4e19e3bd75ab86fdbf8be342c312ab38b5789855fbe95fba7a821ad"/>
    <n v="80812"/>
    <d v="2025-12-13T00:00:00"/>
    <x v="19"/>
    <x v="19"/>
    <n v="901907732"/>
    <s v="Tecnotics S.A.S"/>
    <n v="90336.13"/>
    <n v="17163.87"/>
    <n v="0"/>
    <n v="0"/>
    <n v="0"/>
    <n v="107500"/>
  </r>
  <r>
    <s v="Factura electrónica"/>
    <s v="6d8a2001ad3ffe7f6228b9207fff991f01aa12bb76dcbb8bd644ba088c27539345aff9be44c67e0525ab4988bbd026ff"/>
    <n v="855"/>
    <d v="2025-12-13T00:00:00"/>
    <x v="1"/>
    <x v="1"/>
    <n v="901907732"/>
    <s v="TECNOTICS S.A.S."/>
    <n v="5591955.1200000001"/>
    <n v="1062471.47"/>
    <n v="0"/>
    <n v="0"/>
    <n v="0"/>
    <n v="6654426.5899999999"/>
  </r>
  <r>
    <s v="Factura electrónica"/>
    <s v="0d4d2edc5dd48db52992a6361de6881c27c47da676f31c8032af1153abfc258e611739491263e405f7498626bce8c041"/>
    <n v="7976"/>
    <d v="2025-12-12T00:00:00"/>
    <x v="11"/>
    <x v="11"/>
    <n v="901907732"/>
    <s v="TECNOTICS SAS"/>
    <n v="34000"/>
    <n v="0"/>
    <n v="0"/>
    <n v="0"/>
    <n v="0"/>
    <n v="34000"/>
  </r>
  <r>
    <s v="Factura electrónica"/>
    <s v="90ed1b2adaef48716c4f3be5946c63162ca0b5ec484077b94814c93b4f90fd26b345627d48df1f453a59e3efc68c1d05"/>
    <n v="150179"/>
    <d v="2025-12-12T00:00:00"/>
    <x v="9"/>
    <x v="9"/>
    <n v="901907732"/>
    <s v="TECNO TIC SAS "/>
    <n v="3529.41"/>
    <n v="670.59"/>
    <n v="0"/>
    <n v="0"/>
    <n v="0"/>
    <n v="4200"/>
  </r>
  <r>
    <s v="Factura electrónica"/>
    <s v="f33d71968fa3b5e0bd4b52ef2838a2698ab87c56e1c2dd5eb34463920ecdb80d56e21959761a8c14728a3eaffa79a685"/>
    <n v="198799"/>
    <d v="2025-12-12T00:00:00"/>
    <x v="15"/>
    <x v="15"/>
    <n v="901907732"/>
    <s v="TECNOTICS SAS"/>
    <n v="534715.61"/>
    <n v="101597"/>
    <n v="0"/>
    <n v="0"/>
    <n v="0"/>
    <n v="636312.61"/>
  </r>
  <r>
    <s v="Factura electrónica"/>
    <s v="e97b2622cf247aeb997f7ae817f354872d23666564a78ee718bbf5272c3a9035dde74f32b0e5aa21601ff90e83228df8"/>
    <n v="13184"/>
    <d v="2025-12-12T00:00:00"/>
    <x v="12"/>
    <x v="12"/>
    <n v="901907732"/>
    <s v="TECNOTICS S.A.S."/>
    <n v="159000"/>
    <n v="0"/>
    <n v="0"/>
    <n v="0"/>
    <n v="0"/>
    <n v="159000"/>
  </r>
  <r>
    <s v="Factura electrónica"/>
    <s v="9037cab86c844c2cf159c07723bf8efbdf2734f112aced6702905349d82882ab4f600a75f24d4da1e51cf3831957fa61"/>
    <n v="849"/>
    <d v="2025-12-12T00:00:00"/>
    <x v="1"/>
    <x v="1"/>
    <n v="901907732"/>
    <s v="TECNOTICS S.A.S."/>
    <n v="7563024"/>
    <n v="1436974.56"/>
    <n v="0"/>
    <n v="0"/>
    <n v="0"/>
    <n v="8999998.5600000005"/>
  </r>
  <r>
    <s v="Factura electrónica"/>
    <s v="c994bfd9927ab394e2343ebc2367f882916674edd14c9bb82f1e2b1780c54b041127289165952b1adff8ca1bfa657be7"/>
    <n v="464594"/>
    <d v="2025-12-11T00:00:00"/>
    <x v="6"/>
    <x v="6"/>
    <n v="901907732"/>
    <s v="Tecnotics S.A.S"/>
    <n v="3781.51"/>
    <n v="718.49"/>
    <n v="0"/>
    <n v="0"/>
    <n v="0"/>
    <n v="4500"/>
  </r>
  <r>
    <s v="Factura electrónica"/>
    <s v="d812e3801c68f1f5630ec0d5820487cf4af75417d50efa9c60177143bd2bcbf41d5644266c695f1a9ef06d23d8df0992"/>
    <n v="163535970"/>
    <d v="2025-12-11T00:00:00"/>
    <x v="10"/>
    <x v="10"/>
    <n v="901907732"/>
    <s v="TECNOTICS  SAS"/>
    <n v="6302.59"/>
    <n v="1197.4100000000001"/>
    <n v="0"/>
    <n v="0"/>
    <n v="0"/>
    <n v="7500"/>
  </r>
  <r>
    <s v="Factura electrónica"/>
    <s v="1647e4bed00eb05f04bc0cf236bc827697dca663b2cb13ebdb369978a481ffc34bf9847de10f01f692afcb043050eaa1"/>
    <n v="8886341"/>
    <d v="2025-12-10T00:00:00"/>
    <x v="6"/>
    <x v="6"/>
    <n v="901907732"/>
    <s v="Tecnotics S.A.S"/>
    <n v="3739.51"/>
    <n v="710.49"/>
    <n v="0"/>
    <n v="0"/>
    <n v="0"/>
    <n v="4450"/>
  </r>
  <r>
    <s v="Factura electrónica"/>
    <s v="5dc4f16893dcf903e0957949789752cf4ffa842d82d0c4eb50dbf1ee287dd9c75ed3f150a649711d1074f2359973c924"/>
    <n v="437529"/>
    <d v="2025-12-10T00:00:00"/>
    <x v="6"/>
    <x v="6"/>
    <n v="901907732"/>
    <s v="Tecnotics S.A.S"/>
    <n v="6554.62"/>
    <n v="1245.3800000000001"/>
    <n v="0"/>
    <n v="0"/>
    <n v="0"/>
    <n v="7800"/>
  </r>
  <r>
    <s v="Factura electrónica"/>
    <s v="a41198a53630897ff7bc481d2642cbd3212210998441d4f4f2e0c3898a955c86fbbdd7aff44fe05e554142eb52d798fa"/>
    <n v="208497"/>
    <d v="2025-12-06T00:00:00"/>
    <x v="20"/>
    <x v="20"/>
    <n v="901907732"/>
    <s v="TECNOTICS SAS"/>
    <n v="215500"/>
    <n v="40945"/>
    <n v="0"/>
    <n v="0"/>
    <n v="0"/>
    <n v="256445"/>
  </r>
  <r>
    <s v="Factura electrónica"/>
    <s v="7d1d8210918fdaff3e839a75d4df02037e85d4a4f39f4517200846fd05d61f4a4d3b016e5758c27b33dc905a2ba5d8c2"/>
    <n v="4320"/>
    <d v="2025-12-06T00:00:00"/>
    <x v="21"/>
    <x v="21"/>
    <n v="901907732"/>
    <s v="TECNOTICS SAS"/>
    <n v="151260.5"/>
    <n v="28739.5"/>
    <n v="0"/>
    <n v="0"/>
    <n v="0"/>
    <n v="180000"/>
  </r>
  <r>
    <s v="Factura electrónica"/>
    <s v="26c7122f3f5128f21b819210525a384920961e6181bb13284a5b53a13a61e2cffaa28eadae7099db07337501c6ff4a21"/>
    <n v="362477"/>
    <d v="2025-12-05T00:00:00"/>
    <x v="6"/>
    <x v="6"/>
    <n v="901907732"/>
    <s v="Tecnotics S.A.S"/>
    <n v="5042.0200000000004"/>
    <n v="957.98"/>
    <n v="0"/>
    <n v="0"/>
    <n v="0"/>
    <n v="6000"/>
  </r>
  <r>
    <s v="Factura electrónica"/>
    <s v="c2bfd1fbcafe97515ac8d69ddcd40f81e7548b190390b800cdf5cc277a747bc4d02ec0ac04b8e6e5d0b71d6438af9d92"/>
    <n v="36051"/>
    <d v="2025-12-05T00:00:00"/>
    <x v="22"/>
    <x v="22"/>
    <n v="901907732"/>
    <s v="Alejandro Martinez"/>
    <n v="112689.08"/>
    <n v="4310.92"/>
    <n v="0"/>
    <n v="0"/>
    <n v="0"/>
    <n v="117000"/>
  </r>
  <r>
    <s v="Factura electrónica"/>
    <s v="8d4bb90e1d62b4651db49bc3556cb8e2244febc1c3081be353cb71e7701cf27e4bfc3d2ff520407d9daf98b273af458a"/>
    <n v="13129"/>
    <d v="2025-12-05T00:00:00"/>
    <x v="12"/>
    <x v="12"/>
    <n v="901907732"/>
    <s v="TECNOTICS S.A.S."/>
    <n v="218000"/>
    <n v="0"/>
    <n v="0"/>
    <n v="0"/>
    <n v="0"/>
    <n v="218000"/>
  </r>
  <r>
    <s v="Factura electrónica"/>
    <s v="f905502b57abc4c0c8681fc0ab1b9c5dd83f16686bd75732ec28da6ac9fa119ed17191df208e7d393e4c01537d2abf31"/>
    <n v="36004"/>
    <d v="2025-12-05T00:00:00"/>
    <x v="22"/>
    <x v="22"/>
    <n v="901907732"/>
    <s v="Alejandro Martinez"/>
    <n v="112689.08"/>
    <n v="4310.92"/>
    <n v="0"/>
    <n v="0"/>
    <n v="0"/>
    <n v="117000"/>
  </r>
  <r>
    <s v="Factura electrónica"/>
    <s v="2d87371b5868f6b6f4c3c416998bbc7b02c452c89c2512da15af543f78dd04bca413fdc4b4c1a0448e7d9133315a6b5f"/>
    <n v="1282"/>
    <d v="2025-12-05T00:00:00"/>
    <x v="23"/>
    <x v="23"/>
    <n v="901907732"/>
    <s v="TECNOTICS SAS"/>
    <n v="100000"/>
    <n v="0"/>
    <n v="0"/>
    <n v="0"/>
    <n v="0"/>
    <n v="100000"/>
  </r>
  <r>
    <s v="Factura electrónica"/>
    <s v="77f8307d65d58fc025c7d7078412753ebbf8bfd0415f7b8c7bfe8d8695834f54dbd06466c46b61fcc896f46608922b10"/>
    <n v="318572"/>
    <d v="2025-12-03T00:00:00"/>
    <x v="6"/>
    <x v="6"/>
    <n v="901907732"/>
    <s v="Tecnotics S.A.S"/>
    <n v="3277.31"/>
    <n v="622.69000000000005"/>
    <n v="0"/>
    <n v="0"/>
    <n v="0"/>
    <n v="3900"/>
  </r>
  <r>
    <s v="Factura electrónica"/>
    <s v="fa4c3b1c02bb810aa695959c2ae952af7738f741d27bf7dcddc7944aef8812bb5deb0563864b993752b6195a8f971619"/>
    <n v="208027"/>
    <d v="2025-12-03T00:00:00"/>
    <x v="20"/>
    <x v="20"/>
    <n v="901907732"/>
    <s v="TECNOTICS SAS"/>
    <n v="568459"/>
    <n v="108007.21"/>
    <n v="0"/>
    <n v="0"/>
    <n v="0"/>
    <n v="676466.21"/>
  </r>
  <r>
    <s v="Factura electrónica"/>
    <s v="4197b184ea544479bde5310cb35f641b4736843e70cbc531a9ee2bbc7bec76739c1e3ae275b68b128e95a00f4c1897d9"/>
    <n v="80249"/>
    <d v="2025-12-03T00:00:00"/>
    <x v="7"/>
    <x v="7"/>
    <n v="901907732"/>
    <s v="Tecnotics S.A.S"/>
    <n v="88235.290000000008"/>
    <n v="16764.71"/>
    <n v="0"/>
    <n v="0"/>
    <n v="0"/>
    <n v="105000"/>
  </r>
  <r>
    <s v="Factura electrónica"/>
    <s v="5c13c11fac47264a5a538fb7231e31e0f7e3aceb1a099851ec9f660e0d96c6e2184d64959d5bca5cdd1687c32cbd9a81"/>
    <n v="15766"/>
    <d v="2025-12-03T00:00:00"/>
    <x v="24"/>
    <x v="24"/>
    <n v="901907732"/>
    <s v="TECNOTICS SAS"/>
    <n v="113445.99999999999"/>
    <n v="21554.74"/>
    <n v="0"/>
    <n v="0"/>
    <n v="0"/>
    <n v="135000.74"/>
  </r>
  <r>
    <s v="Factura electrónica"/>
    <s v="f25fbb152f3badd5ce03e11c3bf451e39853ba5f9c1a1be013a7e93f330fb1ec8a0f35174d41a61a15400f9d8d199b9f"/>
    <n v="7723"/>
    <d v="2025-12-02T00:00:00"/>
    <x v="25"/>
    <x v="25"/>
    <n v="901907732"/>
    <s v="TECNOTICS SAS"/>
    <n v="159797.82"/>
    <n v="0"/>
    <n v="0"/>
    <n v="0"/>
    <n v="0"/>
    <n v="159797.82"/>
  </r>
  <r>
    <s v="Factura electrónica"/>
    <s v="64d931e3c9e270e41c58c3e010ae04a40be0d05b90460cd060a195b2ef225360a76e84a45fd3c7cf540914c28378bede"/>
    <n v="7722"/>
    <d v="2025-12-02T00:00:00"/>
    <x v="25"/>
    <x v="25"/>
    <n v="901907732"/>
    <s v="TECNOTICS SAS"/>
    <n v="705150"/>
    <n v="0"/>
    <n v="0"/>
    <n v="0"/>
    <n v="0"/>
    <n v="705150"/>
  </r>
  <r>
    <s v="Factura electrónica"/>
    <s v="73deee88350617a3e3509d206a415cf0285d798b7415613771e10a92d68b829165ccdbcb2a95509d8c1e9c9dfc581b89"/>
    <n v="304532"/>
    <d v="2025-12-02T00:00:00"/>
    <x v="6"/>
    <x v="6"/>
    <n v="901907732"/>
    <s v="Tecnotics S.A.S"/>
    <n v="3781.51"/>
    <n v="718.49"/>
    <n v="0"/>
    <n v="0"/>
    <n v="0"/>
    <n v="4500"/>
  </r>
  <r>
    <s v="Factura electrónica"/>
    <s v="2dc5fd2d1cdeee5ce9f6d4bc40578ac014551d62442c6986cccf62a934cf1e11ce09c92e9becf4c5ba0a3ad6e46df164"/>
    <n v="594039"/>
    <d v="2025-11-30T00:00:00"/>
    <x v="26"/>
    <x v="26"/>
    <n v="901907732"/>
    <s v="TECNOTICS SAS"/>
    <n v="368204"/>
    <n v="69958.759999999995"/>
    <n v="0"/>
    <n v="0"/>
    <n v="0"/>
    <n v="438162.76"/>
  </r>
  <r>
    <s v="Factura electrónica"/>
    <s v="f6110434af3a6cfc8006ada3f4a9f718add56e12ec089a1c8d54f038142865e9ffc8012beb5639b2651349aa0e266a46"/>
    <n v="38739"/>
    <d v="2025-11-22T00:00:00"/>
    <x v="6"/>
    <x v="6"/>
    <n v="901907732"/>
    <s v="Tecnotics S.A.S"/>
    <n v="4600"/>
    <n v="0"/>
    <n v="0"/>
    <n v="0"/>
    <n v="0"/>
    <n v="4600"/>
  </r>
  <r>
    <s v="Nota de crédito electrónica"/>
    <s v="82acda9f3532a022d6ea2bf739a2687663b608fb89d77511261fe4d7a58eabba8f50001f0754d327222dff0323d78d8a"/>
    <s v="DENC4196257"/>
    <d v="2025-11-29T00:00:00"/>
    <x v="6"/>
    <x v="6"/>
    <n v="901907732"/>
    <s v="Tecnotics S.A.S"/>
    <n v="-4600"/>
    <n v="0"/>
    <n v="0"/>
    <n v="0"/>
    <n v="0"/>
    <n v="-4600"/>
  </r>
  <r>
    <s v="Factura electrónica"/>
    <s v="d5fe946b4eaaa341eff94e7940aa59f3aa1e3bc38ede1786cd3320310e36295bcb0eef82130cc3e03aefbc2ccfc66249"/>
    <n v="13086"/>
    <d v="2025-11-29T00:00:00"/>
    <x v="12"/>
    <x v="12"/>
    <n v="901907732"/>
    <s v="TECNOTICS S.A.S."/>
    <n v="273000"/>
    <n v="0"/>
    <n v="0"/>
    <n v="0"/>
    <n v="0"/>
    <n v="273000"/>
  </r>
  <r>
    <s v="Factura electrónica"/>
    <s v="c29f9c3d738295b5248829de82576ce71e86d487bd65eeb7077934e108e15255ceb6d24b57021c76b93bc55858577e97"/>
    <n v="147918"/>
    <d v="2025-11-28T00:00:00"/>
    <x v="6"/>
    <x v="6"/>
    <n v="901907732"/>
    <s v="Tecnotics S.A.S"/>
    <n v="3361.34"/>
    <n v="638.66"/>
    <n v="0"/>
    <n v="0"/>
    <n v="0"/>
    <n v="4000"/>
  </r>
  <r>
    <s v="Factura electrónica"/>
    <s v="988c958a2ebabc6ec63b27a927d5488cdb45e3a440472f1c654fc85420e9c1abec09e9b096e1416ad0f8c605fc4d7788"/>
    <n v="183730"/>
    <d v="2025-11-27T00:00:00"/>
    <x v="27"/>
    <x v="27"/>
    <n v="901907732"/>
    <s v="TECNOTICS SAS"/>
    <n v="293620.17"/>
    <n v="55787.83"/>
    <n v="0"/>
    <n v="0"/>
    <n v="0"/>
    <n v="349408"/>
  </r>
  <r>
    <s v="Factura electrónica"/>
    <s v="07a88b8e924f8e5b69bac9ced6d6e24a2217cd17e9c5a032b44677793412e4952d4d1d0c68730ce50b6ce62afef6e3ff"/>
    <n v="111476"/>
    <d v="2025-11-27T00:00:00"/>
    <x v="28"/>
    <x v="28"/>
    <n v="901907732"/>
    <s v="TECNOTICS SAS"/>
    <n v="129453.79000000001"/>
    <n v="24596.22"/>
    <n v="0"/>
    <n v="0"/>
    <n v="0"/>
    <n v="154050.01"/>
  </r>
  <r>
    <s v="Factura electrónica"/>
    <s v="f70049400f62db71ef0af0ffbb0a0ca6ddc3b13b9bbce9439da27821d128fee77b2623864466046fe675589338849b6d"/>
    <n v="111102"/>
    <d v="2025-11-27T00:00:00"/>
    <x v="6"/>
    <x v="6"/>
    <n v="901907732"/>
    <s v="Tecnotics S.A.S"/>
    <n v="7800"/>
    <n v="0"/>
    <n v="0"/>
    <n v="0"/>
    <n v="0"/>
    <n v="7800"/>
  </r>
  <r>
    <s v="Factura electrónica"/>
    <s v="9c7bf991a2bb0b4e5a24c304102ae9fd0d17a4d9d995952ec65e357175b4b8c96d89e8a83d6c46c6c0d234e478d0da6d"/>
    <n v="206735"/>
    <d v="2025-11-22T00:00:00"/>
    <x v="20"/>
    <x v="20"/>
    <n v="901907732"/>
    <s v="TECNOTICS SAS"/>
    <n v="18280"/>
    <n v="3473.2"/>
    <n v="0"/>
    <n v="0"/>
    <n v="0"/>
    <n v="21753.200000000001"/>
  </r>
  <r>
    <s v="Factura electrónica"/>
    <s v="fae4a5fd29b95a1f2ed23ad55feb1532513dbb589ffa0ba9ddd11993b4d4a8f7c84f36c1af6a827cdf602d237e9c3f1f"/>
    <n v="160356228"/>
    <d v="2025-11-22T00:00:00"/>
    <x v="10"/>
    <x v="10"/>
    <n v="901907732"/>
    <s v="TECNOTICS  SAS"/>
    <n v="97975.78"/>
    <n v="18615.39"/>
    <n v="0"/>
    <n v="1848.83"/>
    <n v="0"/>
    <n v="118440"/>
  </r>
  <r>
    <s v="Factura electrónica"/>
    <s v="6b91e63dcecf4d650122a36b252aa0a5021f3ddb061e7f4ba7930edf1bdecd31acdd55d750be30e442017379633a57df"/>
    <n v="13050"/>
    <d v="2025-11-21T00:00:00"/>
    <x v="12"/>
    <x v="12"/>
    <n v="901907732"/>
    <s v="TECNOTICS S.A.S."/>
    <n v="215000"/>
    <n v="0"/>
    <n v="0"/>
    <n v="0"/>
    <n v="0"/>
    <n v="215000"/>
  </r>
  <r>
    <s v="Factura electrónica"/>
    <s v="07bcab9a62c333febecfa0f03ebb0b8ceddaeaeefadba82f330ed78f118c1a8ad31649933476047ab1e7c1675990da93"/>
    <n v="230429"/>
    <d v="2025-11-21T00:00:00"/>
    <x v="29"/>
    <x v="29"/>
    <n v="901907732"/>
    <s v="TECNOTICS SAS"/>
    <n v="73903.360000000001"/>
    <n v="12806.63"/>
    <n v="0"/>
    <n v="0"/>
    <n v="0"/>
    <n v="86709.99"/>
  </r>
  <r>
    <s v="Factura electrónica"/>
    <s v="24cabce0fdaf132d26d8b4a45b4a93bd4e900c1df2ceb59abd4770659ff0026e4595c67ab8f82cffb22c3eb3655f5015"/>
    <n v="160205561"/>
    <d v="2025-11-21T00:00:00"/>
    <x v="10"/>
    <x v="10"/>
    <n v="901907732"/>
    <s v="TECNOTICS SAS  TECNOTICS SAS"/>
    <n v="10.94"/>
    <n v="2.06"/>
    <n v="0"/>
    <n v="0"/>
    <n v="0"/>
    <n v="13"/>
  </r>
  <r>
    <s v="Factura electrónica"/>
    <s v="fbac05624022b61b88dda6e5b5e90502f1ad36369075aec59f14397db26f33a898a8b85f28c1f2e1d7b81e7335e75b93"/>
    <n v="160205433"/>
    <d v="2025-11-20T00:00:00"/>
    <x v="10"/>
    <x v="10"/>
    <n v="901907732"/>
    <s v="TECNOTICS   SAS"/>
    <n v="68529.850000000006"/>
    <n v="13020.61"/>
    <n v="0"/>
    <n v="1188.54"/>
    <n v="0"/>
    <n v="82739"/>
  </r>
  <r>
    <s v="Factura electrónica"/>
    <s v="7d8c0079864b215c675ec3a83c397a01c4c9968bc03ab60931f5663eb8456502240ffa280c71979a937378689c659c39"/>
    <n v="585267"/>
    <d v="2025-11-20T00:00:00"/>
    <x v="0"/>
    <x v="0"/>
    <n v="901907732"/>
    <s v="TECNOTICS S.A.S."/>
    <n v="1526740"/>
    <n v="0"/>
    <n v="0"/>
    <n v="0"/>
    <n v="0"/>
    <n v="1526740"/>
  </r>
  <r>
    <s v="Factura electrónica"/>
    <s v="e9225227be19fb9411a653c1e3619137035ab6a32edc310f391bf7a72a4669f045f6fdc5bb92c6b59c0738de0c255943"/>
    <n v="206405"/>
    <d v="2025-11-20T00:00:00"/>
    <x v="20"/>
    <x v="20"/>
    <n v="901907732"/>
    <s v="TECNOTICS SAS"/>
    <n v="186920"/>
    <n v="35514.800000000003"/>
    <n v="0"/>
    <n v="0"/>
    <n v="0"/>
    <n v="222434.8"/>
  </r>
  <r>
    <s v="Factura electrónica"/>
    <s v="e0646912f0699ebf8f98f2338f4a303464ed677cd2063f56d829492fa4e6b70dc6b4fa54f6128d0cb8163a8ec943e35b"/>
    <n v="117010"/>
    <d v="2025-11-19T00:00:00"/>
    <x v="18"/>
    <x v="18"/>
    <n v="901907732"/>
    <s v="TECNOTICS SAS"/>
    <n v="1305255"/>
    <n v="247998"/>
    <n v="0"/>
    <n v="0"/>
    <n v="0"/>
    <n v="1553253"/>
  </r>
  <r>
    <s v="Factura electrónica"/>
    <s v="78d823d5851ec31bc7e37ce20225866127c2dc5e87fafdd3ecb2f3f1b7f36b8dca65a209ca06084da2b5e3a82bb57042"/>
    <n v="195378"/>
    <d v="2025-11-19T00:00:00"/>
    <x v="15"/>
    <x v="15"/>
    <n v="901907732"/>
    <s v="TECNOTICS SAS"/>
    <n v="251462.21000000002"/>
    <n v="47778"/>
    <n v="0"/>
    <n v="0"/>
    <n v="0"/>
    <n v="299240.21000000002"/>
  </r>
  <r>
    <s v="Factura electrónica"/>
    <s v="03f820e3f02746b026fd344a3e3220749df12f746dd2ad8efad3a8b0bc5411db6a07f8aa316b8a798b89ddba13682332"/>
    <n v="105013749"/>
    <d v="2025-11-19T00:00:00"/>
    <x v="30"/>
    <x v="30"/>
    <n v="901907732"/>
    <s v="TECNOTICS SAS."/>
    <n v="106890.72"/>
    <n v="20309.28"/>
    <n v="0"/>
    <n v="0"/>
    <n v="0"/>
    <n v="127200"/>
  </r>
  <r>
    <s v="Factura electrónica"/>
    <s v="a435837eaea3cb2162860409bd4f8d341e93ca134a10f8a1f3af7a048d9b8fbe022e9a2f1cb16346d3f25640d0f00738"/>
    <n v="109810"/>
    <d v="2025-11-19T00:00:00"/>
    <x v="28"/>
    <x v="28"/>
    <n v="901907732"/>
    <s v="TECNOTICS SAS"/>
    <n v="213193.2"/>
    <n v="40506.71"/>
    <n v="0"/>
    <n v="0"/>
    <n v="0"/>
    <n v="253699.91"/>
  </r>
  <r>
    <s v="Factura electrónica"/>
    <s v="6d6f5b976ad5f5998fbad7aeae7418a91e68a4726120e9baa570ee03e9c33125a8a8b5a43f67977f2ae88612bc2bcbb2"/>
    <n v="109777"/>
    <d v="2025-11-19T00:00:00"/>
    <x v="28"/>
    <x v="28"/>
    <n v="901907732"/>
    <s v="TECNOTICS SAS"/>
    <n v="99915.97"/>
    <n v="18984.03"/>
    <n v="0"/>
    <n v="0"/>
    <n v="0"/>
    <n v="118900"/>
  </r>
  <r>
    <s v="Factura electrónica"/>
    <s v="b4803fe7ca92a8659f8a8d9f4f52b32e1ffce30a14551d960b2e657b2dc544e4f719c9a76693bb1ac2c9fad8849485b6"/>
    <n v="6607"/>
    <d v="2025-11-19T00:00:00"/>
    <x v="31"/>
    <x v="31"/>
    <n v="901907732"/>
    <s v="TECNOTICS SAS"/>
    <n v="16000"/>
    <n v="0"/>
    <n v="0"/>
    <n v="0"/>
    <n v="0"/>
    <n v="16000"/>
  </r>
  <r>
    <s v="Factura electrónica"/>
    <s v="fa2412ce2f7cbdb5bd8addf53778e4b008de298640d4051d5dbe9ffb3aaf6aedc8e560ced82fbf5ec488d68251da575a"/>
    <n v="143188"/>
    <d v="2025-11-19T00:00:00"/>
    <x v="9"/>
    <x v="9"/>
    <n v="901907732"/>
    <s v="TECNO TIC SAS "/>
    <n v="104201.68"/>
    <n v="19798.32"/>
    <n v="0"/>
    <n v="0"/>
    <n v="0"/>
    <n v="124000"/>
  </r>
  <r>
    <s v="Factura electrónica"/>
    <s v="71ae7d0d62146ef47073be5fccc78f4b841d9258677de583fe2929f0168535b58bb9b022e986c3fd329c992b546d9441"/>
    <n v="30287"/>
    <d v="2025-11-19T00:00:00"/>
    <x v="32"/>
    <x v="32"/>
    <n v="901907732"/>
    <s v="TECNOTICS SAS"/>
    <n v="225686"/>
    <n v="0"/>
    <n v="0"/>
    <n v="0"/>
    <n v="0"/>
    <n v="225686"/>
  </r>
  <r>
    <s v="Factura electrónica"/>
    <s v="7fb0fcdee64994a17f1ddaaa5473a11be8c7667a2480b3f2a9a00ec4b00964c66e10c15b4dc7de005bdea8e04e1072f0"/>
    <n v="8282539"/>
    <d v="2025-11-17T00:00:00"/>
    <x v="6"/>
    <x v="6"/>
    <n v="901907732"/>
    <s v="Tecnotics S.A.S "/>
    <n v="3361.34"/>
    <n v="638.66"/>
    <n v="0"/>
    <n v="0"/>
    <n v="0"/>
    <n v="4000"/>
  </r>
  <r>
    <s v="Factura electrónica"/>
    <s v="45c8dc7e32eb7b3a34d50637d0a691a89b8e0996af84707587a5cc4cc90abe7578df561ae25fdd676017875ce67d5019"/>
    <n v="270895"/>
    <d v="2025-11-16T00:00:00"/>
    <x v="26"/>
    <x v="26"/>
    <n v="901907732"/>
    <s v="TECNOTICS SAS"/>
    <n v="133395"/>
    <n v="25345.05"/>
    <n v="0"/>
    <n v="0"/>
    <n v="0"/>
    <n v="158740.04999999999"/>
  </r>
  <r>
    <s v="Factura electrónica"/>
    <s v="8e1deff359effb3e3184d48f4e26ee10780650fb5200c6a0693ef1b682abb6b2f92c2ab9ee9d8cd97d72f16b88c31613"/>
    <n v="13030"/>
    <d v="2025-11-14T00:00:00"/>
    <x v="12"/>
    <x v="12"/>
    <n v="901907732"/>
    <s v="TECNOTICS S.A.S."/>
    <n v="276000"/>
    <n v="0"/>
    <n v="0"/>
    <n v="0"/>
    <n v="0"/>
    <n v="276000"/>
  </r>
  <r>
    <s v="Factura electrónica"/>
    <s v="94d58ba9393dbd2a063b366e9a5e46a4c1bb81c3e5bc8fa46015c60bd749c2d8daf98b4659028b97a70b45daeb1a2adc"/>
    <n v="110013947"/>
    <d v="2025-11-14T00:00:00"/>
    <x v="30"/>
    <x v="30"/>
    <n v="901907732"/>
    <s v="TECNOTICS SAS."/>
    <n v="42848.729999999996"/>
    <n v="8141.27"/>
    <n v="0"/>
    <n v="0"/>
    <n v="0"/>
    <n v="50990"/>
  </r>
  <r>
    <s v="Factura electrónica"/>
    <s v="e151a24a0dadd3c2388e8701f55f98d0868926830e1c06d1982345f63d1fb008ffa12352df3ac0ddd94f47a2f753b8a4"/>
    <n v="79548"/>
    <d v="2025-11-14T00:00:00"/>
    <x v="7"/>
    <x v="7"/>
    <n v="901907732"/>
    <s v="Tecnotics S.A.S"/>
    <n v="145378.15"/>
    <n v="27621.84"/>
    <n v="0"/>
    <n v="0"/>
    <n v="0"/>
    <n v="172999.99"/>
  </r>
  <r>
    <s v="Factura electrónica"/>
    <s v="cd16537f96b6d6561536adc5f26e5bba1905b63098e15f59bd2c7aeec89759eceeaf5a3b1cb89e41f523a70777aa651d"/>
    <n v="11797"/>
    <d v="2025-11-14T00:00:00"/>
    <x v="13"/>
    <x v="13"/>
    <n v="901907732"/>
    <s v="TECNOTICS SAS"/>
    <n v="1537815"/>
    <n v="292185"/>
    <n v="0"/>
    <n v="0"/>
    <n v="0"/>
    <n v="1830000"/>
  </r>
  <r>
    <s v="Factura electrónica"/>
    <s v="006eb63072755ce169153f839b0ff4c539ec91d8d779e9901939ff12f9da4768fac7524715063a94bf44985433e63d05"/>
    <n v="2439"/>
    <d v="2025-11-14T00:00:00"/>
    <x v="33"/>
    <x v="33"/>
    <n v="901907732"/>
    <s v="TECNOTICS SAS"/>
    <n v="38133.33"/>
    <n v="0"/>
    <n v="0"/>
    <n v="1466.67"/>
    <n v="0"/>
    <n v="39600"/>
  </r>
  <r>
    <s v="Factura electrónica"/>
    <s v="64d364a4fbf85771e860d9504d1e993d893dc1221d6add65d1667574b252c2e440b24f7aa0e1b1baf49746f244ed0e07"/>
    <n v="583620"/>
    <d v="2025-11-13T00:00:00"/>
    <x v="0"/>
    <x v="0"/>
    <n v="901907732"/>
    <s v="TECNOTICS S.A.S."/>
    <n v="460476"/>
    <n v="0"/>
    <n v="0"/>
    <n v="0"/>
    <n v="0"/>
    <n v="460476"/>
  </r>
  <r>
    <s v="Factura electrónica"/>
    <s v="232dfeab2126a923acced1199a64dd4c9be3643d718d3f5e7c9d3babb1c70a3c915e6975ef08635df08d3675ce9b4d9e"/>
    <n v="194725"/>
    <d v="2025-11-13T00:00:00"/>
    <x v="15"/>
    <x v="15"/>
    <n v="901907732"/>
    <s v="TECNOTICS SAS"/>
    <n v="479747.12"/>
    <n v="91153"/>
    <n v="0"/>
    <n v="0"/>
    <n v="0"/>
    <n v="570900.12"/>
  </r>
  <r>
    <s v="Factura electrónica"/>
    <s v="f8327e619e1e38669f87ed493a7582c9815636d6edfc012737272913a96f3865b1ff02ca3b86d2e7c468482dca55ef4e"/>
    <n v="194722"/>
    <d v="2025-11-13T00:00:00"/>
    <x v="15"/>
    <x v="15"/>
    <n v="901907732"/>
    <s v="TECNOTICS SAS"/>
    <n v="1602896.93"/>
    <n v="304551"/>
    <n v="0"/>
    <n v="0"/>
    <n v="0"/>
    <n v="1907447.93"/>
  </r>
  <r>
    <s v="Factura electrónica"/>
    <s v="31c8116a4e02209f9fb3cb2bb2b61e893814ae7303de8449727916b03225d0a9f692220436221acc99a001888009409f"/>
    <n v="336260"/>
    <d v="2025-11-13T00:00:00"/>
    <x v="17"/>
    <x v="17"/>
    <n v="901907732"/>
    <s v="TECNOTISC SAS"/>
    <n v="69900"/>
    <n v="0"/>
    <n v="0"/>
    <n v="0"/>
    <n v="0"/>
    <n v="69900"/>
  </r>
  <r>
    <s v="Factura electrónica"/>
    <s v="08aebcd36edd0f1861cdb8d520ff578b519b54f03a258a4b94c5b1533e0232d977ee19bda47686dd673fd54a40a986f0"/>
    <n v="32014"/>
    <d v="2025-11-13T00:00:00"/>
    <x v="14"/>
    <x v="14"/>
    <n v="901907732"/>
    <s v="TECNOTICS SAS"/>
    <n v="1485980"/>
    <n v="282336.2"/>
    <n v="0"/>
    <n v="0"/>
    <n v="0"/>
    <n v="1768316.2"/>
  </r>
  <r>
    <s v="Factura electrónica"/>
    <s v="494000b5a54aca7d251558633f5a5f5a44b27a0b49250d6b6f60c608d4aba134b14328184670095287f4d757fb874c7a"/>
    <n v="582928"/>
    <d v="2025-11-12T00:00:00"/>
    <x v="0"/>
    <x v="0"/>
    <n v="901907732"/>
    <s v="TECNOTICS S.A.S."/>
    <n v="746734"/>
    <n v="0"/>
    <n v="0"/>
    <n v="0"/>
    <n v="0"/>
    <n v="746734"/>
  </r>
  <r>
    <s v="Factura electrónica"/>
    <s v="8035035493f497c0fa88b22f9d9154deaee5ab58ffb7a5ec3fedb4ae105213fcb2d96a8e49547e1ac175b472426df1fd"/>
    <n v="582927"/>
    <d v="2025-11-12T00:00:00"/>
    <x v="0"/>
    <x v="0"/>
    <n v="901907732"/>
    <s v="TECNOTICS S.A.S."/>
    <n v="440474"/>
    <n v="0"/>
    <n v="0"/>
    <n v="0"/>
    <n v="0"/>
    <n v="440474"/>
  </r>
  <r>
    <s v="Factura electrónica"/>
    <s v="8708fd6602ce70a6bd1aa4e419d4e7a3ed1152aa23414e5ae6ed67a3ab362cbb08fe7bf08c7e03c45bd14f2bd427e0ba"/>
    <n v="582926"/>
    <d v="2025-11-12T00:00:00"/>
    <x v="0"/>
    <x v="0"/>
    <n v="901907732"/>
    <s v="TECNOTICS S.A.S."/>
    <n v="22746"/>
    <n v="0"/>
    <n v="0"/>
    <n v="0"/>
    <n v="0"/>
    <n v="22746"/>
  </r>
  <r>
    <s v="Factura electrónica"/>
    <s v="0d0108815472f245f2c4433a896cc5b5324e8c7276bbf2002ddee030d72be67b6c6ca58cade9ecfc012520df28ea0e00"/>
    <n v="582858"/>
    <d v="2025-11-12T00:00:00"/>
    <x v="0"/>
    <x v="0"/>
    <n v="901907732"/>
    <s v="TECNOTICS S.A.S."/>
    <n v="817866"/>
    <n v="0"/>
    <n v="0"/>
    <n v="0"/>
    <n v="0"/>
    <n v="817866"/>
  </r>
  <r>
    <s v="Factura electrónica"/>
    <s v="8ec6d1204928f64b2a28948230a339e02bc1b953e0ce95ef4a119067a61e17219776d46ce7e42c4092c6ce43fcd847bc"/>
    <n v="582856"/>
    <d v="2025-11-12T00:00:00"/>
    <x v="0"/>
    <x v="0"/>
    <n v="901907732"/>
    <s v="TECNOTICS S.A.S."/>
    <n v="304745"/>
    <n v="0"/>
    <n v="0"/>
    <n v="0"/>
    <n v="0"/>
    <n v="304745"/>
  </r>
  <r>
    <s v="Factura electrónica"/>
    <s v="333483f5d046b4a5796c17b4d733036d1ff61942b099ee135e727abbb1989caaecbe9842be19f56d89eb9f1ad140ae06"/>
    <n v="582855"/>
    <d v="2025-11-12T00:00:00"/>
    <x v="0"/>
    <x v="0"/>
    <n v="901907732"/>
    <s v="TECNOTICS S.A.S."/>
    <n v="536681"/>
    <n v="0"/>
    <n v="0"/>
    <n v="0"/>
    <n v="0"/>
    <n v="536681"/>
  </r>
  <r>
    <s v="Factura electrónica"/>
    <s v="44661d96dd13f06547af312c48b4dd0aa052f468b13dc1a4482541fa5c8897c087eb38dd69dceade16e89e2e8dfa28a3"/>
    <n v="582854"/>
    <d v="2025-11-12T00:00:00"/>
    <x v="0"/>
    <x v="0"/>
    <n v="901907732"/>
    <s v="TECNOTICS S.A.S."/>
    <n v="224417"/>
    <n v="0"/>
    <n v="0"/>
    <n v="0"/>
    <n v="0"/>
    <n v="224417"/>
  </r>
  <r>
    <s v="Factura electrónica"/>
    <s v="22f48b845f9eb9a38ea381ed19937d58019950f8bafe092529ece1e70c0fe00c3d146d4f42272216b96094774c4b0b2a"/>
    <n v="582853"/>
    <d v="2025-11-12T00:00:00"/>
    <x v="0"/>
    <x v="0"/>
    <n v="901907732"/>
    <s v="TECNOTICS S.A.S."/>
    <n v="132738"/>
    <n v="0"/>
    <n v="0"/>
    <n v="0"/>
    <n v="0"/>
    <n v="132738"/>
  </r>
  <r>
    <s v="Factura electrónica"/>
    <s v="d9d70cf9340ddad8a078c802e3a67266a98d710d8912737a942b5aaec265752238f930162e43ddb6d314dbf95ef692ee"/>
    <n v="582852"/>
    <d v="2025-11-12T00:00:00"/>
    <x v="0"/>
    <x v="0"/>
    <n v="901907732"/>
    <s v="TECNOTICS S.A.S."/>
    <n v="325527"/>
    <n v="0"/>
    <n v="0"/>
    <n v="0"/>
    <n v="0"/>
    <n v="325527"/>
  </r>
  <r>
    <s v="Factura electrónica"/>
    <s v="68811b1d4dcc48ecad4b7712635ffac86f8b724ff28748970d7c8408775772feda4af6df22ea7289628d2c4aede74d48"/>
    <n v="582851"/>
    <d v="2025-11-12T00:00:00"/>
    <x v="0"/>
    <x v="0"/>
    <n v="901907732"/>
    <s v="TECNOTICS S.A.S."/>
    <n v="3038808"/>
    <n v="0"/>
    <n v="0"/>
    <n v="0"/>
    <n v="0"/>
    <n v="3038808"/>
  </r>
  <r>
    <s v="Factura electrónica"/>
    <s v="dbfdaee988287a78a256ab606da7bae3f3c304d3a699eae7769659b6e862b83e67b79b46157e484ec4e91f30d8ec37c7"/>
    <n v="582849"/>
    <d v="2025-11-12T00:00:00"/>
    <x v="0"/>
    <x v="0"/>
    <n v="901907732"/>
    <s v="TECNOTICS S.A.S."/>
    <n v="124442"/>
    <n v="0"/>
    <n v="0"/>
    <n v="0"/>
    <n v="0"/>
    <n v="124442"/>
  </r>
  <r>
    <s v="Factura electrónica"/>
    <s v="c218b85fd0c8bc35a9f24f2d423be3a09024fd251bc70b6b9d9391d71e15491e9302db4b8f6b22d3b57eefda71e28c5a"/>
    <n v="582848"/>
    <d v="2025-11-12T00:00:00"/>
    <x v="0"/>
    <x v="0"/>
    <n v="901907732"/>
    <s v="TECNOTICS S.A.S."/>
    <n v="790111"/>
    <n v="0"/>
    <n v="0"/>
    <n v="0"/>
    <n v="0"/>
    <n v="790111"/>
  </r>
  <r>
    <s v="Factura electrónica"/>
    <s v="cf8968d670273eefe8378dc351d6fa112d929c38c8b1ec42e69c717d4038b4ce6248d92be27be099e7e6b20cf7f06659"/>
    <n v="10425"/>
    <d v="2025-11-11T00:00:00"/>
    <x v="34"/>
    <x v="34"/>
    <n v="901907732"/>
    <s v="TECNOTICS SAS"/>
    <n v="500000"/>
    <n v="0"/>
    <n v="0"/>
    <n v="0"/>
    <n v="0"/>
    <n v="500000"/>
  </r>
  <r>
    <s v="Factura electrónica"/>
    <s v="8b93ab6848f164898e6e858e3e118b82aa120e09364063a7ece86dfec9f16e551be163df34e94cf3dcd7fe0a7f250ee2"/>
    <n v="7575"/>
    <d v="2025-11-11T00:00:00"/>
    <x v="11"/>
    <x v="11"/>
    <n v="901907732"/>
    <s v="TECNOTICS SAS"/>
    <n v="17000"/>
    <n v="0"/>
    <n v="0"/>
    <n v="0"/>
    <n v="0"/>
    <n v="17000"/>
  </r>
  <r>
    <s v="Factura electrónica"/>
    <s v="23ab676d89e2ba7d0f12cd96a215d0fc16b85cb5c00baab7bc1096cc2a55a7edb382b3262a18b9b8c6426e8cfad9f396"/>
    <n v="158606264"/>
    <d v="2025-11-11T00:00:00"/>
    <x v="10"/>
    <x v="10"/>
    <n v="901907732"/>
    <s v="TECNOTICS  SAS"/>
    <n v="49349.23"/>
    <n v="9376.35"/>
    <n v="0"/>
    <n v="924.42"/>
    <n v="0"/>
    <n v="59650"/>
  </r>
  <r>
    <s v="Factura electrónica"/>
    <s v="7dd5854be8602227734201ea77e2c84e786d092649985a718e59ea04e56ea92178dd90f5b0279082f0bf5bd5cf24d5ca"/>
    <n v="8162041"/>
    <d v="2025-11-09T00:00:00"/>
    <x v="6"/>
    <x v="6"/>
    <n v="901907732"/>
    <s v="Tecnotics S.A.S "/>
    <n v="3361.34"/>
    <n v="638.66"/>
    <n v="0"/>
    <n v="0"/>
    <n v="0"/>
    <n v="4000"/>
  </r>
  <r>
    <s v="Factura electrónica"/>
    <s v="8ffd162d480e85bed2b6c3477a4fe5c3e31c2b4809fa870b6507f30c606754f4d3dcf2078736f4c2727f8cbe58e13e56"/>
    <n v="79326"/>
    <d v="2025-11-08T00:00:00"/>
    <x v="7"/>
    <x v="7"/>
    <n v="901907732"/>
    <s v="Tecnotics S.A.S"/>
    <n v="22689.079999999998"/>
    <n v="4310.93"/>
    <n v="0"/>
    <n v="0"/>
    <n v="0"/>
    <n v="27000.01"/>
  </r>
  <r>
    <s v="Factura electrónica"/>
    <s v="205d7d7ea3d9612ea483d23cc90f7256a3e709153d95fc901ad22e7e19ec32e12f39066ca6e80f56e8bc4e96e001e2ec"/>
    <n v="13003"/>
    <d v="2025-11-07T00:00:00"/>
    <x v="12"/>
    <x v="12"/>
    <n v="901907732"/>
    <s v="TECNOTICS S.A.S."/>
    <n v="233000"/>
    <n v="0"/>
    <n v="0"/>
    <n v="0"/>
    <n v="0"/>
    <n v="233000"/>
  </r>
  <r>
    <s v="Factura electrónica"/>
    <s v="54691fda4bbc4d10801f0ed82f390260b565180a9f5baa2776d4287ab215fb3dbd496d47af5db7331b7101fabd31ce86"/>
    <n v="11601"/>
    <d v="2025-11-05T00:00:00"/>
    <x v="13"/>
    <x v="13"/>
    <n v="901907732"/>
    <s v="TECNOTICS SAS"/>
    <n v="67227"/>
    <n v="12773"/>
    <n v="0"/>
    <n v="0"/>
    <n v="0"/>
    <n v="80000"/>
  </r>
  <r>
    <s v="Factura electrónica"/>
    <s v="071853bfc8be0eaecee9ad06ae955367ccb571e5d4221758f7f3465ede90ce84a74f0e84cf9b77925b3dcf8dd897b38d"/>
    <n v="61989"/>
    <d v="2025-11-05T00:00:00"/>
    <x v="35"/>
    <x v="35"/>
    <n v="901907732"/>
    <s v="TECNOTICS SAS"/>
    <n v="57990.969999999994"/>
    <n v="638.65"/>
    <n v="0"/>
    <n v="4370.37"/>
    <n v="0"/>
    <n v="62999.99"/>
  </r>
  <r>
    <s v="Factura electrónica"/>
    <s v="170caddf0ae35966c87939370589cb577cec651d307c8fc8ef39bf64ad5f277673b27f95ce4534b3e53e06f7900f72bc"/>
    <n v="88787"/>
    <d v="2025-11-05T00:00:00"/>
    <x v="36"/>
    <x v="36"/>
    <n v="901907732"/>
    <s v="TECNOTICS SAS"/>
    <n v="199663.59999999998"/>
    <n v="34487.39"/>
    <n v="0"/>
    <n v="0"/>
    <n v="0"/>
    <n v="234150.99"/>
  </r>
  <r>
    <s v="Factura electrónica"/>
    <s v="60ede7569b2aaf475eaf6d1ddb1838ddcceb1387401e4d2c93ce8ed13e4217c2ab8168380aa057c6363487e97db1946d"/>
    <n v="193232"/>
    <d v="2025-11-05T00:00:00"/>
    <x v="15"/>
    <x v="15"/>
    <n v="901907732"/>
    <s v="TECNOTICS SAS"/>
    <n v="3383750.21"/>
    <n v="642913"/>
    <n v="0"/>
    <n v="0"/>
    <n v="0"/>
    <n v="4026663.21"/>
  </r>
  <r>
    <s v="Factura electrónica"/>
    <s v="9c8cad55e058b9cd7a8ed3cbf5c14367a17f1dd0601076b5a5cbfc3fa3a6614e0adb3f20bafed16465e9184bb3b3f686"/>
    <n v="120009567"/>
    <d v="2025-11-05T00:00:00"/>
    <x v="30"/>
    <x v="30"/>
    <n v="901907732"/>
    <s v="TECNOTICS SAS."/>
    <n v="168378.31"/>
    <n v="24838.69"/>
    <n v="0"/>
    <n v="0"/>
    <n v="0"/>
    <n v="193217"/>
  </r>
  <r>
    <s v="Factura electrónica"/>
    <s v="523ed35bbc6f0070b4c34f5425bfaec8bb097e1adfa495e9a103b43b3e45fa1de1492e5603ff0f5b84d013564e19d1f6"/>
    <n v="7523"/>
    <d v="2025-11-05T00:00:00"/>
    <x v="25"/>
    <x v="25"/>
    <n v="901907732"/>
    <s v="TECNOTICS SAS"/>
    <n v="257764.82"/>
    <n v="0"/>
    <n v="0"/>
    <n v="0"/>
    <n v="0"/>
    <n v="257764.82"/>
  </r>
  <r>
    <s v="Factura electrónica"/>
    <s v="af834c1b94ff9c6c1ed3754e4c65daeefcebb31867b61f852f2eb8420129d155689130280f316fb64b96628259790c18"/>
    <n v="7524"/>
    <d v="2025-11-05T00:00:00"/>
    <x v="25"/>
    <x v="25"/>
    <n v="901907732"/>
    <s v="TECNOTICS SAS"/>
    <n v="576330"/>
    <n v="0"/>
    <n v="0"/>
    <n v="0"/>
    <n v="0"/>
    <n v="576330"/>
  </r>
  <r>
    <s v="Factura electrónica"/>
    <s v="985a57c27c523e34f9312b7953fcaf32503f0a2f956390ae98d0d48241e39fa9807d32e932cb14bf7bf17c0d506da917"/>
    <n v="8665305"/>
    <d v="2025-11-04T00:00:00"/>
    <x v="6"/>
    <x v="6"/>
    <n v="901907732"/>
    <s v="Tecnotics S.A.S"/>
    <n v="6302.54"/>
    <n v="1197.46"/>
    <n v="0"/>
    <n v="0"/>
    <n v="0"/>
    <n v="7500"/>
  </r>
  <r>
    <s v="Documento equivalente - Cobro de peajes"/>
    <s v="ebe9adb38b5f5f9da5b1af67e9ea5ca24d3015e8051c72e6e6403648454cb7c5ad4060418c8025ddacdca145dd35dbbe"/>
    <n v="65242445"/>
    <d v="2025-11-01T00:00:00"/>
    <x v="6"/>
    <x v="6"/>
    <n v="901907732"/>
    <s v="Tecnotics S.A.S "/>
    <n v="16100"/>
    <n v="0"/>
    <n v="0"/>
    <n v="0"/>
    <n v="0"/>
    <n v="16100"/>
  </r>
  <r>
    <s v="Documento equivalente - Cobro de peajes"/>
    <s v="e791c9be299075140fcc17b671a020c4b63476ba2c108c9914a5a8e01a013b420c23b224ff782795386806d45223c2cb"/>
    <n v="65122454"/>
    <d v="2025-11-01T00:00:00"/>
    <x v="6"/>
    <x v="6"/>
    <n v="901907732"/>
    <s v="Tecnotics S.A.S "/>
    <n v="16100"/>
    <n v="0"/>
    <n v="0"/>
    <n v="0"/>
    <n v="0"/>
    <n v="16100"/>
  </r>
  <r>
    <s v="Factura electrónica"/>
    <s v="0322c9bfbb545b9d309bf463675b4257528d4dbffef22876484540f7672e818a171ebc03ae4685a12560512e29ceec15"/>
    <n v="11540"/>
    <d v="2025-10-31T00:00:00"/>
    <x v="13"/>
    <x v="13"/>
    <n v="901907732"/>
    <s v="TECNOTICS SAS"/>
    <n v="268908"/>
    <n v="51092"/>
    <n v="0"/>
    <n v="0"/>
    <n v="0"/>
    <n v="320000"/>
  </r>
  <r>
    <s v="Factura electrónica"/>
    <s v="a212d75230b60eb15ebfaee399e337b4f46d883ee32ecb80fe4519cbf2bd01454f16941ff85e4a04443653d1ce93be92"/>
    <n v="12985"/>
    <d v="2025-10-31T00:00:00"/>
    <x v="12"/>
    <x v="12"/>
    <n v="901907732"/>
    <s v="TECNOTICS S.A.S."/>
    <n v="261000"/>
    <n v="0"/>
    <n v="0"/>
    <n v="0"/>
    <n v="0"/>
    <n v="261000"/>
  </r>
  <r>
    <s v="Factura electrónica"/>
    <s v="ab24dead9f22bc229387331b0d680b771d5524da1a80fef1fab44b35e395b4c41238ca49a6bbef7d9138c7e36dfb4b45"/>
    <n v="78906"/>
    <d v="2025-10-31T00:00:00"/>
    <x v="7"/>
    <x v="7"/>
    <n v="901907732"/>
    <s v="Tecnotics S.A.S"/>
    <n v="75630.25"/>
    <n v="14369.75"/>
    <n v="0"/>
    <n v="0"/>
    <n v="0"/>
    <n v="90000"/>
  </r>
  <r>
    <s v="Factura electrónica"/>
    <s v="36ca5ce079678dd3ffd0aadc9104469d34fe04d0be41eaa5827631ac6327e2e01595e882060ab983cd60e67dc8311e41"/>
    <n v="11499"/>
    <d v="2025-10-30T00:00:00"/>
    <x v="13"/>
    <x v="13"/>
    <n v="901907732"/>
    <s v="TECNOTICS SAS"/>
    <n v="109664"/>
    <n v="20836"/>
    <n v="0"/>
    <n v="0"/>
    <n v="0"/>
    <n v="130500"/>
  </r>
  <r>
    <s v="Factura electrónica"/>
    <s v="88e2e00d631f5ee96b2fe0572ec3e925361d73ed0644e595de5526b10a32ea0065f3f688944db3bf182484bfa1f23aa0"/>
    <n v="8016029"/>
    <d v="2025-10-29T00:00:00"/>
    <x v="6"/>
    <x v="6"/>
    <n v="901907732"/>
    <s v="Tecnotics S.A.S "/>
    <n v="16806.72"/>
    <n v="3193.28"/>
    <n v="0"/>
    <n v="0"/>
    <n v="0"/>
    <n v="20000"/>
  </r>
  <r>
    <s v="Factura electrónica"/>
    <s v="028995c79d1d734c21bd2df0ff3214d6c02249d98e6a32ae31feae947c79914411d65d983ea708cf13c418bce2cd49fd"/>
    <n v="8007939"/>
    <d v="2025-10-29T00:00:00"/>
    <x v="6"/>
    <x v="6"/>
    <n v="901907732"/>
    <s v="Tecnotics S.A.S "/>
    <n v="16806.72"/>
    <n v="3193.28"/>
    <n v="0"/>
    <n v="0"/>
    <n v="0"/>
    <n v="20000"/>
  </r>
  <r>
    <s v="Factura electrónica"/>
    <s v="3881ccb1be4436df444abe65316ac66323b17abc7f873e1d30f0a474d3b4c69d2278202eca8464a1c28c06ec42e01fd5"/>
    <n v="2228"/>
    <d v="2025-10-28T00:00:00"/>
    <x v="37"/>
    <x v="37"/>
    <n v="901907732"/>
    <s v="TECNOTICS SAS"/>
    <n v="1616380.11"/>
    <n v="307112.21999999997"/>
    <n v="0"/>
    <n v="0"/>
    <n v="0"/>
    <n v="1923492.33"/>
  </r>
  <r>
    <s v="Factura electrónica"/>
    <s v="393e8145057659ac157fea641bf981807fc739cdb447916419979ada7f8da16a4ad1b5e14a8f4eeb3fa6d6a575b3e147"/>
    <n v="32549"/>
    <d v="2025-10-28T00:00:00"/>
    <x v="38"/>
    <x v="38"/>
    <n v="901907732"/>
    <s v="TECNOTICS SAS"/>
    <n v="63025.200000000004"/>
    <n v="11974.79"/>
    <n v="0"/>
    <n v="0"/>
    <n v="0"/>
    <n v="74999.990000000005"/>
  </r>
  <r>
    <s v="Factura electrónica"/>
    <s v="64147673d9d167d6af62447eadc2a2e5816eca53fb00de5102135d91871287ca376d4a5cbc79d8a0d5b1e1a5c2a718a9"/>
    <n v="24281"/>
    <d v="2025-10-25T00:00:00"/>
    <x v="39"/>
    <x v="39"/>
    <n v="901907732"/>
    <s v="TECNOTICS SAS"/>
    <n v="53613.42"/>
    <n v="10186.540000000001"/>
    <n v="0"/>
    <n v="0"/>
    <n v="0"/>
    <n v="63799.96"/>
  </r>
  <r>
    <s v="Factura electrónica"/>
    <s v="1289de22339ca00dbdcd3252ee9fcb71cb368982c33084fe734331badfac93d11846a96d8a1ea8a2d42eddae91785506"/>
    <n v="24250"/>
    <d v="2025-10-24T00:00:00"/>
    <x v="39"/>
    <x v="39"/>
    <n v="901907732"/>
    <s v="TECNOTICS SAS"/>
    <n v="218613.40000000002"/>
    <n v="41536.550000000003"/>
    <n v="0"/>
    <n v="0"/>
    <n v="0"/>
    <n v="260149.95"/>
  </r>
  <r>
    <s v="Factura electrónica"/>
    <s v="8efa2999ff2f6a441e03336181fc96bc5b9099c15b4c0ce2cce886479213842182fd18a4258cf94a2598b399efa8de63"/>
    <n v="12949"/>
    <d v="2025-10-24T00:00:00"/>
    <x v="12"/>
    <x v="12"/>
    <n v="901907732"/>
    <s v="TECNOTICS S.A.S."/>
    <n v="119500"/>
    <n v="0"/>
    <n v="0"/>
    <n v="0"/>
    <n v="0"/>
    <n v="119500"/>
  </r>
  <r>
    <s v="Documento equivalente - Cobro de peajes"/>
    <s v="157aa67f3d7eafa4eb6002c3519c64cf478c84222d0b5b9eb6e2eeddebacd78764a13533ffc630c237cb32a142fb7c93"/>
    <n v="63472232"/>
    <d v="2025-10-23T00:00:00"/>
    <x v="6"/>
    <x v="6"/>
    <n v="901907732"/>
    <s v="Tecnotics S.A.S "/>
    <n v="16100"/>
    <n v="0"/>
    <n v="0"/>
    <n v="0"/>
    <n v="0"/>
    <n v="16100"/>
  </r>
  <r>
    <s v="Documento equivalente - Cobro de peajes"/>
    <s v="7f1b937b97838403fdfeb8c12229e389e6694e3ad42e1f86183369e06c45c467688be3fea6b34353f7ba79b3b65412b4"/>
    <n v="63394656"/>
    <d v="2025-10-23T00:00:00"/>
    <x v="6"/>
    <x v="6"/>
    <n v="901907732"/>
    <s v="Tecnotics S.A.S "/>
    <n v="16100"/>
    <n v="0"/>
    <n v="0"/>
    <n v="0"/>
    <n v="0"/>
    <n v="16100"/>
  </r>
  <r>
    <s v="Factura electrónica"/>
    <s v="2daa2b4449dc6975f2191669d9209ad3f323b12045cff8b649ff7a05362decc4ee98b71afc15cdbdbd522dbf0a83f06d"/>
    <n v="6111"/>
    <d v="2025-10-22T00:00:00"/>
    <x v="9"/>
    <x v="9"/>
    <n v="901907732"/>
    <s v="TECNO TIC SAS "/>
    <n v="137815.13"/>
    <n v="26184.87"/>
    <n v="0"/>
    <n v="0"/>
    <n v="0"/>
    <n v="164000"/>
  </r>
  <r>
    <s v="Factura electrónica"/>
    <s v="099d08bc52a49bc26552e6ad89934b70ebcc101d916ce23ebbf567c24ef1a3d24d1f21fdc1ccc3922355eb9bc49f9cc0"/>
    <n v="11337"/>
    <d v="2025-10-22T00:00:00"/>
    <x v="13"/>
    <x v="13"/>
    <n v="901907732"/>
    <s v="TECNOTICS SAS"/>
    <n v="447059"/>
    <n v="84941"/>
    <n v="0"/>
    <n v="0"/>
    <n v="0"/>
    <n v="532000"/>
  </r>
  <r>
    <s v="Factura electrónica"/>
    <s v="412e2b0213f5f0b22892a631bc05c97a522ab278aac57527e025f18df1e49a7e8c496b6ad829d23b8363e638db3405e7"/>
    <n v="11336"/>
    <d v="2025-10-22T00:00:00"/>
    <x v="13"/>
    <x v="13"/>
    <n v="901907732"/>
    <s v="TECNOTICS SAS"/>
    <n v="505916"/>
    <n v="36084"/>
    <n v="0"/>
    <n v="0"/>
    <n v="0"/>
    <n v="542000"/>
  </r>
  <r>
    <s v="Factura electrónica"/>
    <s v="5c89556763543b339a65edb47d4a003667d62265546b18182e22c9c9e8743ba3a5b9edd125827faebb36ce90874522f0"/>
    <n v="155455845"/>
    <d v="2025-10-22T00:00:00"/>
    <x v="10"/>
    <x v="10"/>
    <n v="901907732"/>
    <s v="TECNOTICS  SAS"/>
    <n v="97975.78"/>
    <n v="18615.39"/>
    <n v="0"/>
    <n v="1848.83"/>
    <n v="0"/>
    <n v="118440"/>
  </r>
  <r>
    <s v="Factura electrónica"/>
    <s v="5be092d661d7c1b9270f6ccfd22a357d1d4cb2491bc2085248687df35ab51690014aa5077965a2b8c6dbc121a519bd54"/>
    <n v="11287"/>
    <d v="2025-10-21T00:00:00"/>
    <x v="13"/>
    <x v="13"/>
    <n v="901907732"/>
    <s v="TECNOTICS SAS"/>
    <n v="110084"/>
    <n v="20916"/>
    <n v="0"/>
    <n v="0"/>
    <n v="0"/>
    <n v="131000"/>
  </r>
  <r>
    <s v="Factura electrónica"/>
    <s v="117c2c6be9b5c8627178f34833b5fb627e0cf2fea697563a4e6d3d9b58675185a62de56be995f08e88a336aa7fc60195"/>
    <n v="7322"/>
    <d v="2025-10-21T00:00:00"/>
    <x v="11"/>
    <x v="11"/>
    <n v="901907732"/>
    <s v="TECNOTICS SAS"/>
    <n v="34000"/>
    <n v="0"/>
    <n v="0"/>
    <n v="0"/>
    <n v="0"/>
    <n v="34000"/>
  </r>
  <r>
    <s v="Factura electrónica"/>
    <s v="c3907feaaba6e988e28fbb34792f16f9e0e79f298b5a61e3a62bdb7739be0dc3ac76fbe6278e6800b42e3f19644196ab"/>
    <n v="155303262"/>
    <d v="2025-10-21T00:00:00"/>
    <x v="10"/>
    <x v="10"/>
    <n v="901907732"/>
    <s v="TECNOTICS SAS  TECNOTICS SAS"/>
    <n v="3.41"/>
    <n v="0.59"/>
    <n v="0"/>
    <n v="0"/>
    <n v="0"/>
    <n v="4"/>
  </r>
  <r>
    <s v="Factura electrónica"/>
    <s v="482c215fbfa315caeae5096baaed2507a39116fab2379f0485e7ce5da35d3584c8fe2d8495a81b281efd3bc38f0aa216"/>
    <n v="155303112"/>
    <d v="2025-10-21T00:00:00"/>
    <x v="10"/>
    <x v="10"/>
    <n v="901907732"/>
    <s v="TECNOTICS   SAS"/>
    <n v="68529.850000000006"/>
    <n v="13020.61"/>
    <n v="0"/>
    <n v="1188.54"/>
    <n v="0"/>
    <n v="82739"/>
  </r>
  <r>
    <s v="Factura electrónica"/>
    <s v="b10c421de030c5e36d9a66227928c7bde2dc16719cb06d745c0ee807f1cf462ea6a850a8520c7634fe2e5f4d292179e3"/>
    <n v="203017"/>
    <d v="2025-10-20T00:00:00"/>
    <x v="20"/>
    <x v="20"/>
    <n v="901907732"/>
    <s v="TECNOTICS SAS"/>
    <n v="199847"/>
    <n v="37970.93"/>
    <n v="0"/>
    <n v="0"/>
    <n v="0"/>
    <n v="237817.93"/>
  </r>
  <r>
    <s v="Factura electrónica"/>
    <s v="859a8155994b9b36080659f761d7e66e31ee308e4523c82d977053a0f390a67d1f219e09b8cabca98a327c4d0f993b94"/>
    <n v="576633"/>
    <d v="2025-10-20T00:00:00"/>
    <x v="0"/>
    <x v="0"/>
    <n v="901907732"/>
    <s v="TECNOTICS S.A.S."/>
    <n v="12954965"/>
    <n v="0"/>
    <n v="0"/>
    <n v="0"/>
    <n v="0"/>
    <n v="12954965"/>
  </r>
  <r>
    <s v="Factura electrónica"/>
    <s v="e2c4fade50840b4b563281e75517f35b1a836fbbacd0f0174b184f7c815f00417a51005fe42891e3574cd99d36f4010e"/>
    <n v="7858578"/>
    <d v="2025-10-18T00:00:00"/>
    <x v="6"/>
    <x v="6"/>
    <n v="901907732"/>
    <s v="Tecnotics S.A.S "/>
    <n v="5462"/>
    <n v="1038"/>
    <n v="0"/>
    <n v="0"/>
    <n v="0"/>
    <n v="6500"/>
  </r>
  <r>
    <s v="Factura electrónica"/>
    <s v="cad352177688cb937c05d190e7674ca8e2203de5503d582fd1a2f008e4e2b3a7156d8065abfed598020d5f65d5d156eb"/>
    <n v="78329"/>
    <d v="2025-10-18T00:00:00"/>
    <x v="7"/>
    <x v="7"/>
    <n v="901907732"/>
    <s v="Tecnotics S.A.S"/>
    <n v="369747.9"/>
    <n v="70252.11"/>
    <n v="0"/>
    <n v="0"/>
    <n v="0"/>
    <n v="440000.01"/>
  </r>
  <r>
    <s v="Documento equivalente - Cobro de peajes"/>
    <s v="700078966de8a4fc7c944c28bbca68cb76b414c31e6904d0b4e782e16c07de35247fb597028f1c90eed18038885028b1"/>
    <n v="62583605"/>
    <d v="2025-10-18T00:00:00"/>
    <x v="6"/>
    <x v="6"/>
    <n v="901907732"/>
    <s v="Tecnotics S.A.S "/>
    <n v="12900"/>
    <n v="0"/>
    <n v="0"/>
    <n v="0"/>
    <n v="0"/>
    <n v="12900"/>
  </r>
  <r>
    <s v="Factura electrónica"/>
    <s v="d0376be9ad69f9791ece6a4824b54362c7c22091c57bedca1597a86d1b652501c2952cb97928e9eadcb5b94685171ea5"/>
    <n v="7852965"/>
    <d v="2025-10-18T00:00:00"/>
    <x v="6"/>
    <x v="6"/>
    <n v="901907732"/>
    <s v="Tecnotics S.A.S "/>
    <n v="3408"/>
    <n v="592"/>
    <n v="0"/>
    <n v="0"/>
    <n v="0"/>
    <n v="4000"/>
  </r>
  <r>
    <s v="Documento equivalente - Cobro de peajes"/>
    <s v="6d2eda1702b79223dafec46dd0e718c25e498b1b7df82a7d3e1e5a3235dde0faf15aec38545ec985e62bad55f3161110"/>
    <n v="62531289"/>
    <d v="2025-10-18T00:00:00"/>
    <x v="6"/>
    <x v="6"/>
    <n v="901907732"/>
    <s v="Tecnotics S.A.S "/>
    <n v="25000"/>
    <n v="0"/>
    <n v="0"/>
    <n v="0"/>
    <n v="0"/>
    <n v="25000"/>
  </r>
  <r>
    <s v="Factura electrónica"/>
    <s v="b39ab36f460577423f0fbdba35b115ee374f4a842793f91da195af82fc81bc8566fb32ff56ece6c0dbad8c84d588b167"/>
    <n v="12899"/>
    <d v="2025-10-17T00:00:00"/>
    <x v="12"/>
    <x v="12"/>
    <n v="901907732"/>
    <s v="TECNOTICS S.A.S."/>
    <n v="200000"/>
    <n v="0"/>
    <n v="0"/>
    <n v="0"/>
    <n v="0"/>
    <n v="200000"/>
  </r>
  <r>
    <s v="Factura electrónica"/>
    <s v="1422ad05481df1f2c6c1255614d5f10fc767745b0f1f703199e82cf1fb6785bcbe20a0d986a34a7e4076e825678d92c7"/>
    <n v="1171"/>
    <d v="2025-10-17T00:00:00"/>
    <x v="40"/>
    <x v="40"/>
    <n v="901907732"/>
    <s v="TECNOTICS SAS"/>
    <n v="2279232"/>
    <n v="0"/>
    <n v="0"/>
    <n v="0"/>
    <n v="0"/>
    <n v="2279232"/>
  </r>
  <r>
    <s v="Factura electrónica"/>
    <s v="162636befa04b2b1e00f85cb60746ab4b1204913c3cf11bfcf476c9c3f35c4cf7c5fed9a7c557a820dec8b3ae6bee059"/>
    <n v="1169"/>
    <d v="2025-10-17T00:00:00"/>
    <x v="40"/>
    <x v="40"/>
    <n v="901907732"/>
    <s v="TECNOTICS SAS"/>
    <n v="930000"/>
    <n v="0"/>
    <n v="0"/>
    <n v="0"/>
    <n v="0"/>
    <n v="930000"/>
  </r>
  <r>
    <s v="Factura electrónica"/>
    <s v="990e606308a8e9359079438d2633bd0206dfa8f8bad48cabef73e0efa93c713be17a63fbf063f1a252ba4beeaa7d1851"/>
    <n v="11226"/>
    <d v="2025-10-17T00:00:00"/>
    <x v="13"/>
    <x v="13"/>
    <n v="901907732"/>
    <s v="TECNOTICS SAS"/>
    <n v="291597"/>
    <n v="55403"/>
    <n v="0"/>
    <n v="0"/>
    <n v="0"/>
    <n v="347000"/>
  </r>
  <r>
    <s v="Factura electrónica"/>
    <s v="cb62b7c5e35c63e5cc2eaf1bf6b8c2b1e561b4398d57ef9899760bf2df14f1e14d7ccfc47f29d774dd4aaf9d4be82776"/>
    <n v="92963"/>
    <d v="2025-10-17T00:00:00"/>
    <x v="41"/>
    <x v="41"/>
    <n v="901907732"/>
    <s v="TECNOTICS SAS"/>
    <n v="429411.77"/>
    <n v="81588.23"/>
    <n v="0"/>
    <n v="0"/>
    <n v="0"/>
    <n v="511000"/>
  </r>
  <r>
    <s v="Factura electrónica"/>
    <s v="d2dd7430c07f0e09608852a593c929895ab59d1e9c08b482060ed5f4bdd80c2b58a26fe6b49319570c7faab082d0ed9d"/>
    <n v="1275"/>
    <d v="2025-10-17T00:00:00"/>
    <x v="23"/>
    <x v="23"/>
    <n v="901907732"/>
    <s v="TECNOTICS SAS"/>
    <n v="100000"/>
    <n v="0"/>
    <n v="0"/>
    <n v="0"/>
    <n v="0"/>
    <n v="100000"/>
  </r>
  <r>
    <s v="Documento equivalente - Cobro de peajes"/>
    <s v="8e6ac43f1190b051e1834e99cc08605fd3cce2b4cf81c2795f575d87f00b2f2d0c5b5514237579dbd212bbdd8b894a10"/>
    <n v="62257241"/>
    <d v="2025-10-16T00:00:00"/>
    <x v="6"/>
    <x v="6"/>
    <n v="901907732"/>
    <s v="Tecnotics S.A.S "/>
    <n v="12900"/>
    <n v="0"/>
    <n v="0"/>
    <n v="0"/>
    <n v="0"/>
    <n v="12900"/>
  </r>
  <r>
    <s v="Factura electrónica"/>
    <s v="6ba52bf199db3cefcdd35a76c9a632e9f7f05999550ad1cb17ea306f6b8aaf8e95176989677993e7f6de8a411eed9e16"/>
    <n v="576248"/>
    <d v="2025-10-16T00:00:00"/>
    <x v="0"/>
    <x v="0"/>
    <n v="901907732"/>
    <s v="TECNOTICS S.A.S."/>
    <n v="1443360"/>
    <n v="0"/>
    <n v="0"/>
    <n v="0"/>
    <n v="0"/>
    <n v="1443360"/>
  </r>
  <r>
    <s v="Factura electrónica"/>
    <s v="533e4da6fb19cda5b8481fbd9f3d429dfba910f678416ace6ce1c411dd0517853dfb84a707103bd291c0c50d33765774"/>
    <n v="7830583"/>
    <d v="2025-10-16T00:00:00"/>
    <x v="6"/>
    <x v="6"/>
    <n v="901907732"/>
    <s v="Tecnotics S.A.S "/>
    <n v="6817"/>
    <n v="1184"/>
    <n v="0"/>
    <n v="0"/>
    <n v="0"/>
    <n v="8001"/>
  </r>
  <r>
    <s v="Factura electrónica"/>
    <s v="6f4cc8b8756caec1729a6b9c19706c252db362fe2015d1cf3e4418f81c71999ccf09d69777085faa254a81cb49603162"/>
    <n v="1163"/>
    <d v="2025-10-16T00:00:00"/>
    <x v="40"/>
    <x v="40"/>
    <n v="901907732"/>
    <s v="TECNOTICS SAS"/>
    <n v="1085000"/>
    <n v="0"/>
    <n v="0"/>
    <n v="0"/>
    <n v="0"/>
    <n v="1085000"/>
  </r>
  <r>
    <s v="Documento equivalente - Cobro de peajes"/>
    <s v="b9c5adbe367aa907739cb5279067070a8a13861dc88eeb71c79ceb709b4b24836a11e2eef926e12ba8559a00cb7e9bd0"/>
    <n v="62178227"/>
    <d v="2025-10-16T00:00:00"/>
    <x v="6"/>
    <x v="6"/>
    <n v="901907732"/>
    <s v="Tecnotics S.A.S "/>
    <n v="12900"/>
    <n v="0"/>
    <n v="0"/>
    <n v="0"/>
    <n v="0"/>
    <n v="12900"/>
  </r>
  <r>
    <s v="Factura electrónica"/>
    <s v="c70ae61d749217d33e71d4988b0a3537a936095c0dc04646948dc5eff6fa04d36ce3d22ef4a565f355d6f997840560e1"/>
    <n v="586258"/>
    <d v="2025-10-16T00:00:00"/>
    <x v="26"/>
    <x v="26"/>
    <n v="901907732"/>
    <s v="TECNOTICS SAS"/>
    <n v="166637"/>
    <n v="31661.03"/>
    <n v="0"/>
    <n v="0"/>
    <n v="0"/>
    <n v="198298.03"/>
  </r>
  <r>
    <s v="Factura electrónica"/>
    <s v="34ca0ef1c7137a8eadf7735f165874cf4f775b84dc8f7d6467ef5a32325521f56ccfde685c858299c896888f768ecb63"/>
    <n v="575814"/>
    <d v="2025-10-15T00:00:00"/>
    <x v="0"/>
    <x v="0"/>
    <n v="901907732"/>
    <s v="TECNOTICS S.A.S."/>
    <n v="471099"/>
    <n v="0"/>
    <n v="0"/>
    <n v="0"/>
    <n v="0"/>
    <n v="471099"/>
  </r>
  <r>
    <s v="Factura electrónica"/>
    <s v="a5b847dd199b3f47cbb6cf3ff412f6b4a764ff2f2e0ea8766f8d6b8bc31ac2475e15bc53c8d744e9711c4da94d8c32b6"/>
    <n v="11158"/>
    <d v="2025-10-15T00:00:00"/>
    <x v="13"/>
    <x v="13"/>
    <n v="901907732"/>
    <s v="TECNOTICS SAS"/>
    <n v="465546"/>
    <n v="88454"/>
    <n v="0"/>
    <n v="0"/>
    <n v="0"/>
    <n v="554000"/>
  </r>
  <r>
    <s v="Factura electrónica"/>
    <s v="6d13df1c538b7817d89a671e9af1d23f39d9e8195f992689fed095a9e0e63da98cbd7d0020f129e38f9b56b5281c7b60"/>
    <n v="78143"/>
    <d v="2025-10-15T00:00:00"/>
    <x v="7"/>
    <x v="7"/>
    <n v="901907732"/>
    <s v="Tecnotics S.A.S"/>
    <n v="269747.90000000002"/>
    <n v="51252.1"/>
    <n v="0"/>
    <n v="0"/>
    <n v="0"/>
    <n v="321000"/>
  </r>
  <r>
    <s v="Factura electrónica"/>
    <s v="7e11709df2ab647fdb8be1c7cd9c54b608c2e57bdcad895aa69b8c720f0c2fc94296feb65ed23e16b7649b0483827c86"/>
    <n v="190355"/>
    <d v="2025-10-14T00:00:00"/>
    <x v="15"/>
    <x v="15"/>
    <n v="901907732"/>
    <s v="TECNOTICS SAS"/>
    <n v="318224.36"/>
    <n v="60463"/>
    <n v="0"/>
    <n v="0"/>
    <n v="0"/>
    <n v="378687.36"/>
  </r>
  <r>
    <s v="Factura electrónica"/>
    <s v="e2b97791fbcba09f6dc63e6a94415301e3f7f89291b0103cb7340fdeae1b12c25115ea20bd2a338130f9e1def92e02cb"/>
    <n v="78098"/>
    <d v="2025-10-14T00:00:00"/>
    <x v="7"/>
    <x v="7"/>
    <n v="901907732"/>
    <s v="Tecnotics S.A.S"/>
    <n v="192436.99"/>
    <n v="36563.040000000001"/>
    <n v="0"/>
    <n v="0"/>
    <n v="0"/>
    <n v="229000.03"/>
  </r>
  <r>
    <s v="Factura electrónica"/>
    <s v="47cf9be1bab691dfbf1c6aa1b934c1ba724aa089399e2f55b11dc7abacd9ca0934c8cee7b9f83fd1a54fd064a1520337"/>
    <n v="22193"/>
    <d v="2025-10-14T00:00:00"/>
    <x v="9"/>
    <x v="9"/>
    <n v="901907732"/>
    <s v="TECNOTICS SAS"/>
    <n v="300000"/>
    <n v="0"/>
    <n v="0"/>
    <n v="0"/>
    <n v="0"/>
    <n v="300000"/>
  </r>
  <r>
    <s v="Factura electrónica"/>
    <s v="97eae9a24e0ca2f61f5a13b11453363df3561ce7a921637590cb8b2b51b4af5192c89108fb0b1c36495fe1f83202ab66"/>
    <n v="3260"/>
    <d v="2025-10-14T00:00:00"/>
    <x v="42"/>
    <x v="42"/>
    <n v="901907732"/>
    <s v="TECNOTICS SAS"/>
    <n v="107000"/>
    <n v="20330"/>
    <n v="0"/>
    <n v="0"/>
    <n v="0"/>
    <n v="127330"/>
  </r>
  <r>
    <s v="Factura electrónica"/>
    <s v="6a729cb6e3702373ce60c29bc2437571f0f332792d7bde8b5c4b3f2d691af19a751a98020e809718e8496b15392f0718"/>
    <n v="7784920"/>
    <d v="2025-10-13T00:00:00"/>
    <x v="6"/>
    <x v="6"/>
    <n v="901907732"/>
    <s v="Tecnotics S.A.S "/>
    <n v="3361.34"/>
    <n v="638.66"/>
    <n v="0"/>
    <n v="0"/>
    <n v="0"/>
    <n v="4000"/>
  </r>
  <r>
    <s v="Factura electrónica"/>
    <s v="f7c09035148b5bbfd8ce74d6bd72f4b3035399e2ea6f62833e7b24c7a24111d5d27c04919df892ef06c9abfb1f33a185"/>
    <n v="1273"/>
    <d v="2025-10-11T00:00:00"/>
    <x v="23"/>
    <x v="23"/>
    <n v="901907732"/>
    <s v="TECNOTICS SAS"/>
    <n v="100000"/>
    <n v="0"/>
    <n v="0"/>
    <n v="0"/>
    <n v="0"/>
    <n v="100000"/>
  </r>
  <r>
    <s v="Factura electrónica"/>
    <s v="fdf289b89524058995dbf9afb7ae0700f2844fffd3fdc01b33d74440718d749053d2c6e3ff5d5ff7bd6ec0d18ef128c6"/>
    <n v="153704258"/>
    <d v="2025-10-11T00:00:00"/>
    <x v="10"/>
    <x v="10"/>
    <n v="901907732"/>
    <s v="TECNOTICS  SAS"/>
    <n v="49097.96"/>
    <n v="9328.6200000000008"/>
    <n v="0"/>
    <n v="924.42"/>
    <n v="0"/>
    <n v="59351"/>
  </r>
  <r>
    <s v="Factura electrónica"/>
    <s v="eb4bd7a00b78fb47ae0b4dc1caa444b4cae9776d750518bd9cc07f5666bd79180d38af8ba50baac806fc8fd880c96826"/>
    <n v="12863"/>
    <d v="2025-10-10T00:00:00"/>
    <x v="12"/>
    <x v="12"/>
    <n v="901907732"/>
    <s v="TECNOTICS S.A.S."/>
    <n v="400000"/>
    <n v="0"/>
    <n v="0"/>
    <n v="0"/>
    <n v="0"/>
    <n v="400000"/>
  </r>
  <r>
    <s v="Factura electrónica"/>
    <s v="8adb0908c43168fdd42f3deb9125ac23b7691f0cdc16cb44ed4429e659e79f112751a5711701922248b3d29f0621989a"/>
    <n v="7380"/>
    <d v="2025-10-10T00:00:00"/>
    <x v="25"/>
    <x v="25"/>
    <n v="901907732"/>
    <s v="TECNOTICS SAS"/>
    <n v="257764.82"/>
    <n v="0"/>
    <n v="0"/>
    <n v="0"/>
    <n v="0"/>
    <n v="257764.82"/>
  </r>
  <r>
    <s v="Factura electrónica"/>
    <s v="4f5f8bfaddfee96b0ced87526dff4d3032a91da42569ec3c4e3b21378a921f6653ed324895ef189cb79ed6896c31cb90"/>
    <n v="1146"/>
    <d v="2025-10-10T00:00:00"/>
    <x v="40"/>
    <x v="40"/>
    <n v="901907732"/>
    <s v="TECNOTICS SAS"/>
    <n v="770000"/>
    <n v="0"/>
    <n v="0"/>
    <n v="0"/>
    <n v="0"/>
    <n v="770000"/>
  </r>
  <r>
    <s v="Factura electrónica"/>
    <s v="846cd36e5379807a682b29d89141108a072a2f0165199d7c52aec4c0db8281dd827487c3c041231ea52826e383056b6e"/>
    <n v="574810"/>
    <d v="2025-10-09T00:00:00"/>
    <x v="0"/>
    <x v="0"/>
    <n v="901907732"/>
    <s v="TECNOTICS S.A.S."/>
    <n v="843715"/>
    <n v="0"/>
    <n v="0"/>
    <n v="0"/>
    <n v="0"/>
    <n v="843715"/>
  </r>
  <r>
    <s v="Factura electrónica"/>
    <s v="39db4c51b45bd9109455eaf8fec7b9ab1975a9f7b78e90a6df2612b96af6379bb92bdf664fa87ed193f09a263cdbee97"/>
    <n v="574809"/>
    <d v="2025-10-09T00:00:00"/>
    <x v="0"/>
    <x v="0"/>
    <n v="901907732"/>
    <s v="TECNOTICS S.A.S."/>
    <n v="1048595"/>
    <n v="0"/>
    <n v="0"/>
    <n v="0"/>
    <n v="0"/>
    <n v="1048595"/>
  </r>
  <r>
    <s v="Factura electrónica"/>
    <s v="983e55aaec422914dace6e67b654391c5f422c600aa2626a521dc3f8c284b66cd7806d0cdc90024de575b522a80e1f30"/>
    <n v="574808"/>
    <d v="2025-10-09T00:00:00"/>
    <x v="0"/>
    <x v="0"/>
    <n v="901907732"/>
    <s v="TECNOTICS S.A.S."/>
    <n v="314376"/>
    <n v="0"/>
    <n v="0"/>
    <n v="0"/>
    <n v="0"/>
    <n v="314376"/>
  </r>
  <r>
    <s v="Factura electrónica"/>
    <s v="09204886cb0d94788b8ca66226dc3944544a33e0bab175efcb7a7ab33454df6c5d4045ea959d7729cefccc4b4c75294d"/>
    <n v="574807"/>
    <d v="2025-10-09T00:00:00"/>
    <x v="0"/>
    <x v="0"/>
    <n v="901907732"/>
    <s v="TECNOTICS S.A.S."/>
    <n v="553644"/>
    <n v="0"/>
    <n v="0"/>
    <n v="0"/>
    <n v="0"/>
    <n v="553644"/>
  </r>
  <r>
    <s v="Factura electrónica"/>
    <s v="0512c9ebf1715ee612ecc2d08caee9338fa561e6e165331ba40de31a5f17f25424e6ebae7c07f92a9ee2fd9da39ba79b"/>
    <n v="574806"/>
    <d v="2025-10-09T00:00:00"/>
    <x v="0"/>
    <x v="0"/>
    <n v="901907732"/>
    <s v="TECNOTICS S.A.S."/>
    <n v="231511"/>
    <n v="0"/>
    <n v="0"/>
    <n v="0"/>
    <n v="0"/>
    <n v="231511"/>
  </r>
  <r>
    <s v="Factura electrónica"/>
    <s v="9f2825136c93b25ada363cabe46131cace8d96e614a33857e3d5e5a61c94aa3cfb8667d5cd51a5d2f16ca8134b37e64d"/>
    <n v="574805"/>
    <d v="2025-10-09T00:00:00"/>
    <x v="0"/>
    <x v="0"/>
    <n v="901907732"/>
    <s v="TECNOTICS S.A.S."/>
    <n v="136934"/>
    <n v="0"/>
    <n v="0"/>
    <n v="0"/>
    <n v="0"/>
    <n v="136934"/>
  </r>
  <r>
    <s v="Factura electrónica"/>
    <s v="b6fb58808a0e0f8c07226d47ee2729ff264c00fbf6c9d2dc5e2631519a984bb27f34d920acab66a3e9da4a16998a6b5e"/>
    <n v="574804"/>
    <d v="2025-10-09T00:00:00"/>
    <x v="0"/>
    <x v="0"/>
    <n v="901907732"/>
    <s v="TECNOTICS S.A.S."/>
    <n v="335815"/>
    <n v="0"/>
    <n v="0"/>
    <n v="0"/>
    <n v="0"/>
    <n v="335815"/>
  </r>
  <r>
    <s v="Factura electrónica"/>
    <s v="fc0547782270a623dc43fb536121afd5c282fe87f047e9a89d8302854e4189af8bbbfadfc77dc79a484f139f03d4097a"/>
    <n v="574803"/>
    <d v="2025-10-09T00:00:00"/>
    <x v="0"/>
    <x v="0"/>
    <n v="901907732"/>
    <s v="TECNOTICS S.A.S."/>
    <n v="455846"/>
    <n v="0"/>
    <n v="0"/>
    <n v="0"/>
    <n v="0"/>
    <n v="455846"/>
  </r>
  <r>
    <s v="Factura electrónica"/>
    <s v="d529bcff8b608e08903cf09e2220879ec48bc91eaed4e0f67a1620cbb7e224f91edbac661777835b65f078983b0db7cc"/>
    <n v="574783"/>
    <d v="2025-10-09T00:00:00"/>
    <x v="0"/>
    <x v="0"/>
    <n v="901907732"/>
    <s v="TECNOTICS S.A.S."/>
    <n v="2711988"/>
    <n v="0"/>
    <n v="0"/>
    <n v="0"/>
    <n v="0"/>
    <n v="2711988"/>
  </r>
  <r>
    <s v="Factura electrónica"/>
    <s v="9366d727f649d8318f610d2dea7c86f4b650430d67c4f982201e6044084aa8a5177d6f257e213d7d492ec2484cb7b822"/>
    <n v="574781"/>
    <d v="2025-10-09T00:00:00"/>
    <x v="0"/>
    <x v="0"/>
    <n v="901907732"/>
    <s v="TECNOTICS S.A.S."/>
    <n v="128376"/>
    <n v="0"/>
    <n v="0"/>
    <n v="0"/>
    <n v="0"/>
    <n v="128376"/>
  </r>
  <r>
    <s v="Factura electrónica"/>
    <s v="300e25b765cf2ecb1b7a1bba31be3e77bbdbbbe28d4a79187fd905f22ca86fcef3cbb1ea6ba37229013e5e71cc2ac0da"/>
    <n v="574780"/>
    <d v="2025-10-09T00:00:00"/>
    <x v="0"/>
    <x v="0"/>
    <n v="901907732"/>
    <s v="TECNOTICS S.A.S."/>
    <n v="815084"/>
    <n v="0"/>
    <n v="0"/>
    <n v="0"/>
    <n v="0"/>
    <n v="815084"/>
  </r>
  <r>
    <s v="Factura electrónica"/>
    <s v="2231613ccf3b9032343ec455cc0061e2cd8aa326470cadcb7e5d66f320649ee3b37d511b29bc169fba7cd8d9ff3cf56d"/>
    <n v="11062"/>
    <d v="2025-10-09T00:00:00"/>
    <x v="13"/>
    <x v="13"/>
    <n v="901907732"/>
    <s v="TECNOTICS SAS"/>
    <n v="12941"/>
    <n v="2459"/>
    <n v="0"/>
    <n v="0"/>
    <n v="0"/>
    <n v="15400"/>
  </r>
  <r>
    <s v="Factura electrónica"/>
    <s v="035f0e0e5dbcbbb4a080e493931426fe1465ba7a3de5e720f5450ad2407b4f81145baecfc82cc00066adf3cabeb408cf"/>
    <n v="189900"/>
    <d v="2025-10-09T00:00:00"/>
    <x v="15"/>
    <x v="15"/>
    <n v="901907732"/>
    <s v="TECNOTICS SAS"/>
    <n v="333442.15000000002"/>
    <n v="63355"/>
    <n v="0"/>
    <n v="0"/>
    <n v="0"/>
    <n v="396797.15"/>
  </r>
  <r>
    <s v="Factura electrónica"/>
    <s v="fadb6ad1f10198dbc810b41656e281175e9e508828e02efc19449c71e9ab15b1ff90eea70aeef3bd6567e037d7b03458"/>
    <n v="8461244"/>
    <d v="2025-10-06T00:00:00"/>
    <x v="6"/>
    <x v="6"/>
    <n v="901907732"/>
    <s v="Tecnotics S.A.S"/>
    <n v="3949.58"/>
    <n v="750.42"/>
    <n v="0"/>
    <n v="0"/>
    <n v="0"/>
    <n v="4700"/>
  </r>
  <r>
    <s v="Factura electrónica"/>
    <s v="c540f0e6464dbeaf987ab3e7517affce5d18a66b769344b41e2dc36c16e80cc473d58c0186f3d0250c3669fcb4402d2d"/>
    <n v="7224"/>
    <d v="2025-10-03T00:00:00"/>
    <x v="25"/>
    <x v="25"/>
    <n v="901907732"/>
    <s v="TECNOTICS SAS"/>
    <n v="869430"/>
    <n v="0"/>
    <n v="0"/>
    <n v="0"/>
    <n v="0"/>
    <n v="869430"/>
  </r>
  <r>
    <s v="Factura electrónica"/>
    <s v="22d33621e8c521035fad28ef36539d93a698e6d337d860a463bb68307b085a399be8cae2e28cbe50222f7113004b1a3a"/>
    <n v="12816"/>
    <d v="2025-10-03T00:00:00"/>
    <x v="12"/>
    <x v="12"/>
    <n v="901907732"/>
    <s v="TECNOTICS S.A.S."/>
    <n v="426000"/>
    <n v="0"/>
    <n v="0"/>
    <n v="0"/>
    <n v="0"/>
    <n v="426000"/>
  </r>
  <r>
    <s v="Factura electrónica"/>
    <s v="f31f5851c18ca2e54223e02013f4e3da167253f85d07c8ad1b41f62e9b69cda99f6fa18414055f723e1a7477344e82b2"/>
    <n v="1272"/>
    <d v="2025-10-03T00:00:00"/>
    <x v="23"/>
    <x v="23"/>
    <n v="901907732"/>
    <s v="TECNOTICS SAS"/>
    <n v="100000"/>
    <n v="0"/>
    <n v="0"/>
    <n v="0"/>
    <n v="0"/>
    <n v="100000"/>
  </r>
  <r>
    <s v="Documento equivalente - Cobro de peajes"/>
    <s v="9612690f3fa76c47da047de753dc81393fcabc132c4f909f75b9061f9b56f9e5c04232ebdabef8172a984ef4c68c4bed"/>
    <n v="59161248"/>
    <d v="2025-09-30T00:00:00"/>
    <x v="6"/>
    <x v="6"/>
    <n v="901907732"/>
    <s v="Tecnotics S.A.S "/>
    <n v="12900"/>
    <n v="0"/>
    <n v="0"/>
    <n v="0"/>
    <n v="0"/>
    <n v="12900"/>
  </r>
  <r>
    <s v="Documento equivalente - Cobro de peajes"/>
    <s v="481e2482871549664b5754614e22ce257de807fd58adba0cee2b5f0169f873c8a03f798903698b521c577d73f8d32c58"/>
    <n v="59111239"/>
    <d v="2025-09-30T00:00:00"/>
    <x v="6"/>
    <x v="6"/>
    <n v="901907732"/>
    <s v="Tecnotics S.A.S "/>
    <n v="12900"/>
    <n v="0"/>
    <n v="0"/>
    <n v="0"/>
    <n v="0"/>
    <n v="12900"/>
  </r>
  <r>
    <s v="Factura electrónica"/>
    <s v="d8f35627bb6ee3d19ff80e8c183f8aa5e8421461cedcf733e6f9d8c640b13898d31a7bcaabebaf7594c4de278881fb7c"/>
    <n v="200865"/>
    <d v="2025-09-30T00:00:00"/>
    <x v="20"/>
    <x v="20"/>
    <n v="901907732"/>
    <s v="TECNOTICS SAS"/>
    <n v="208853"/>
    <n v="39682.07"/>
    <n v="0"/>
    <n v="0"/>
    <n v="0"/>
    <n v="248535.07"/>
  </r>
  <r>
    <s v="Factura electrónica"/>
    <s v="2d72770c4cfd93e24f6772fa3010d0c81c0b1f688a7a9e817a3546df990d61ca73757d55dbf48cba4a720247f9e4f397"/>
    <n v="265426"/>
    <d v="2025-09-28T00:00:00"/>
    <x v="26"/>
    <x v="26"/>
    <n v="901907732"/>
    <s v="TECNOTICS SAS"/>
    <n v="81510"/>
    <n v="15486.9"/>
    <n v="0"/>
    <n v="0"/>
    <n v="0"/>
    <n v="96996.9"/>
  </r>
  <r>
    <s v="Nota de crédito electrónica"/>
    <s v="f27c03494e1e61a4c5c681aabeeec874b414246f80fc14b42518308caa1cf39647e51aa89f7c595ca89ae9666fd5dee4"/>
    <n v="25837"/>
    <d v="2025-09-27T00:00:00"/>
    <x v="26"/>
    <x v="26"/>
    <n v="901907732"/>
    <s v="TECNOTICS SAS"/>
    <n v="-188232"/>
    <n v="-35764.080000000002"/>
    <n v="0"/>
    <n v="0"/>
    <n v="0"/>
    <n v="-223996.08"/>
  </r>
  <r>
    <s v="Factura electrónica"/>
    <s v="181cc80570eaec3b8ab0bfa414e15d9d216ff7791ac2c803d61dcd537260145b1abf2e3a0951a0797ca0ff0867acf5a4"/>
    <n v="583357"/>
    <d v="2025-09-27T00:00:00"/>
    <x v="26"/>
    <x v="26"/>
    <n v="901907732"/>
    <s v="TECNOTICS SAS"/>
    <n v="142504.20000000001"/>
    <n v="27075.81"/>
    <n v="0"/>
    <n v="0"/>
    <n v="0"/>
    <n v="169580.01"/>
  </r>
  <r>
    <s v="Factura electrónica"/>
    <s v="8c504421920f6214cc2ff3da7af741d84811a2433f3aed3443ee5abafcec7bb20bbbf392942145d10cd187e90a487b85"/>
    <n v="583356"/>
    <d v="2025-09-27T00:00:00"/>
    <x v="26"/>
    <x v="26"/>
    <n v="901907732"/>
    <s v="TECNOTICS SAS"/>
    <n v="444500.89999999997"/>
    <n v="84455.17"/>
    <n v="0"/>
    <n v="0"/>
    <n v="0"/>
    <n v="528956.06999999995"/>
  </r>
  <r>
    <s v="Factura electrónica"/>
    <s v="8dba763dbcc2eef2949a391a1df43ebcdfe48cadfa73eac349f4bae83358f53ebd4587bf32f9ce4a977ea6e549978de7"/>
    <n v="10776"/>
    <d v="2025-09-27T00:00:00"/>
    <x v="13"/>
    <x v="13"/>
    <n v="901907732"/>
    <s v="TECNOTICS SAS"/>
    <n v="389496"/>
    <n v="74004"/>
    <n v="0"/>
    <n v="0"/>
    <n v="0"/>
    <n v="463500"/>
  </r>
  <r>
    <s v="Factura electrónica"/>
    <s v="0fe560547a02b9cd82def1e6a0e39548128b7c1823c761dfa561fa688490bcff732b825cae9d2b08ad4293eebf448269"/>
    <n v="226808"/>
    <d v="2025-09-27T00:00:00"/>
    <x v="29"/>
    <x v="29"/>
    <n v="901907732"/>
    <s v="TECNOTICS SAS"/>
    <n v="193532.87"/>
    <n v="35348.129999999997"/>
    <n v="4260"/>
    <n v="0"/>
    <n v="159"/>
    <n v="233300"/>
  </r>
  <r>
    <s v="Factura electrónica"/>
    <s v="923cf019e3bbf21fa14d42990384385e085bd8ec2188079d709264eafd9b64d9363e613c08a36327e9fa10c5ca27d0cb"/>
    <n v="12767"/>
    <d v="2025-09-26T00:00:00"/>
    <x v="12"/>
    <x v="12"/>
    <n v="901907732"/>
    <s v="TECNOTICS S.A.S."/>
    <n v="280000"/>
    <n v="0"/>
    <n v="0"/>
    <n v="0"/>
    <n v="0"/>
    <n v="280000"/>
  </r>
  <r>
    <s v="Factura electrónica"/>
    <s v="491cbc9021970ab497e1c84776e3f2edc45ebe518b80fcbfa858be0117ba6205be3aa1de2009d3a94a7c769c78fa1f88"/>
    <n v="80765"/>
    <d v="2025-09-26T00:00:00"/>
    <x v="43"/>
    <x v="43"/>
    <n v="901907732"/>
    <s v="TECNOTICS SAS"/>
    <n v="12016.69"/>
    <n v="2283.31"/>
    <n v="0"/>
    <n v="0"/>
    <n v="0"/>
    <n v="14300"/>
  </r>
  <r>
    <s v="Factura electrónica"/>
    <s v="5683f5b2b5acb3dd2c9e43635a333df624d8a13983b8a9a1991883260a0c2b7be668bf923da2c04def465100c24ac6f3"/>
    <n v="1269"/>
    <d v="2025-09-26T00:00:00"/>
    <x v="23"/>
    <x v="23"/>
    <n v="901907732"/>
    <s v="TECNOTICS SAS"/>
    <n v="200000"/>
    <n v="0"/>
    <n v="0"/>
    <n v="0"/>
    <n v="0"/>
    <n v="200000"/>
  </r>
  <r>
    <s v="Factura electrónica"/>
    <s v="3d00e9004853e9604c764ae2a020bb63a28720f00bd58fe82ad9dfcbfa0eb12709383ae6c25281d0f9fb6dfbe810b9a7"/>
    <n v="187851"/>
    <d v="2025-09-25T00:00:00"/>
    <x v="15"/>
    <x v="15"/>
    <n v="901907732"/>
    <s v="TECNOTICS SAS"/>
    <n v="137263.76"/>
    <n v="26081"/>
    <n v="0"/>
    <n v="0"/>
    <n v="0"/>
    <n v="163344.76"/>
  </r>
  <r>
    <s v="Factura electrónica"/>
    <s v="5ed30a27915f0630e9ab62de283e687ac31eea50f4d166632a01367c8bb3b155d511a241c60e063b619ee3d6179baab1"/>
    <n v="10730"/>
    <d v="2025-09-25T00:00:00"/>
    <x v="13"/>
    <x v="13"/>
    <n v="901907732"/>
    <s v="TECNOTICS SAS"/>
    <n v="446471"/>
    <n v="84829"/>
    <n v="0"/>
    <n v="0"/>
    <n v="0"/>
    <n v="531300"/>
  </r>
  <r>
    <s v="Factura electrónica"/>
    <s v="e5a575fe81532203707345cf3746195d5a6b82749107fe828ba893d5a1dbf8cd993ca4487a736946f263a2ce4a341396"/>
    <n v="716"/>
    <d v="2025-09-25T00:00:00"/>
    <x v="15"/>
    <x v="15"/>
    <n v="901907732"/>
    <s v="TECNOTICS SAS"/>
    <n v="1081561.1100000001"/>
    <n v="205497"/>
    <n v="0"/>
    <n v="0"/>
    <n v="0"/>
    <n v="1287058.1100000001"/>
  </r>
  <r>
    <s v="Factura electrónica"/>
    <s v="7846186270ea4683ead352658398a334dd7d2e9d0c759a47ef2af27f7b6afc929864c5a80aaa903cbfa1f788f90b6fc9"/>
    <n v="187384"/>
    <d v="2025-09-23T00:00:00"/>
    <x v="15"/>
    <x v="15"/>
    <n v="901907732"/>
    <s v="TECNOTICS SAS"/>
    <n v="127271.1"/>
    <n v="24182"/>
    <n v="0"/>
    <n v="0"/>
    <n v="0"/>
    <n v="151453.1"/>
  </r>
  <r>
    <s v="Factura electrónica"/>
    <s v="62e19d3a53036d65bd385023cffa1576918ae949a284e2fa3e2210c42076d3607dce7db8cc65ffe764104fc439653822"/>
    <n v="6910"/>
    <d v="2025-09-23T00:00:00"/>
    <x v="11"/>
    <x v="11"/>
    <n v="901907732"/>
    <s v="TECNOTICS SAS"/>
    <n v="34000"/>
    <n v="0"/>
    <n v="0"/>
    <n v="0"/>
    <n v="0"/>
    <n v="34000"/>
  </r>
  <r>
    <s v="Factura electrónica"/>
    <s v="aa00329f21fcab6122ef878b5b73994d98e6faef1defd374cee55c3477a553499abedb4de915a2c5367d25a05c48be44"/>
    <n v="430955"/>
    <d v="2025-09-22T00:00:00"/>
    <x v="44"/>
    <x v="44"/>
    <n v="901907732"/>
    <s v="TECNOTICS SAS"/>
    <n v="100840.34"/>
    <n v="19159.66"/>
    <n v="0"/>
    <n v="0"/>
    <n v="0"/>
    <n v="120000"/>
  </r>
  <r>
    <s v="Factura electrónica"/>
    <s v="e502112914554eeec3f236d01a0e3170a2c3a84697e57f8af42b5e6a15287fccacfb25c7b429f4e1a0ae85b3611638c2"/>
    <n v="46127879"/>
    <d v="2025-09-22T00:00:00"/>
    <x v="45"/>
    <x v="45"/>
    <n v="901907732"/>
    <s v="TECNOTICS S A S"/>
    <n v="41300"/>
    <n v="0"/>
    <n v="0"/>
    <n v="0"/>
    <n v="0"/>
    <n v="41300"/>
  </r>
  <r>
    <s v="Factura electrónica"/>
    <s v="6077d6b652d6c4383062d9b5631b2691d06ea0625ff9254904406eb1a5d36b0e25c707ed896ba4c37bbeb77750926349"/>
    <n v="150585012"/>
    <d v="2025-09-22T00:00:00"/>
    <x v="10"/>
    <x v="10"/>
    <n v="901907732"/>
    <s v="TECNOTICS  SAS"/>
    <n v="97975.78"/>
    <n v="18615.39"/>
    <n v="0"/>
    <n v="1848.83"/>
    <n v="0"/>
    <n v="118440"/>
  </r>
  <r>
    <s v="Factura electrónica"/>
    <s v="5c7a1b4844221f90b7d0084e584fe0528d6634a189846d229f1d7a337179ca49a67da6d63aa8136d12e8affb484a2501"/>
    <n v="150429540"/>
    <d v="2025-09-22T00:00:00"/>
    <x v="10"/>
    <x v="10"/>
    <n v="901907732"/>
    <s v="TECNOTICS SAS  TECNOTICS SAS"/>
    <n v="24175.15"/>
    <n v="4593.25"/>
    <n v="0"/>
    <n v="18.600000000000001"/>
    <n v="0"/>
    <n v="28787"/>
  </r>
  <r>
    <s v="Factura electrónica"/>
    <s v="0a11b43603ade42c82fdd87d648b0ed70471bcecb77e4532a38ac13bf497322fcdaec01289ead4bf1642fb4145271236"/>
    <n v="150429460"/>
    <d v="2025-09-22T00:00:00"/>
    <x v="10"/>
    <x v="10"/>
    <n v="901907732"/>
    <s v="TECNOTICS   SAS"/>
    <n v="68585.240000000005"/>
    <n v="13031.22"/>
    <n v="0"/>
    <n v="1188.54"/>
    <n v="0"/>
    <n v="82805"/>
  </r>
  <r>
    <s v="Factura electrónica"/>
    <s v="ceb2a335c6b791cafca1c715fe328debcd47f6519cdc22e6e3f5cbd9d841ca7fec32d32e66b05538de28f98a684292f5"/>
    <n v="156227"/>
    <d v="2025-09-20T00:00:00"/>
    <x v="9"/>
    <x v="9"/>
    <n v="901907732"/>
    <s v="TECNO TIC SAS "/>
    <n v="137815.13"/>
    <n v="26184.87"/>
    <n v="0"/>
    <n v="0"/>
    <n v="0"/>
    <n v="164000"/>
  </r>
  <r>
    <s v="Factura electrónica"/>
    <s v="191f502f56c8337819a39d421990657e75c899db095ee7a2433ad1282681b11ee024204258492141c63526307f1eb718"/>
    <n v="7478778"/>
    <d v="2025-09-20T00:00:00"/>
    <x v="6"/>
    <x v="6"/>
    <n v="901907732"/>
    <s v="Tecnotics S.A.S "/>
    <n v="5042.0200000000004"/>
    <n v="957.98"/>
    <n v="0"/>
    <n v="0"/>
    <n v="0"/>
    <n v="6000"/>
  </r>
  <r>
    <s v="Factura electrónica"/>
    <s v="d35583e4ab023eb4ed5d7a588c0c70b65ed401cb9b6094e0704d4a105ddd505a52f0ad849b4190e4519c69fc278a0511"/>
    <n v="10602"/>
    <d v="2025-09-19T00:00:00"/>
    <x v="13"/>
    <x v="13"/>
    <n v="901907732"/>
    <s v="TECNOTICS SAS"/>
    <n v="277395"/>
    <n v="52705"/>
    <n v="0"/>
    <n v="0"/>
    <n v="0"/>
    <n v="330100"/>
  </r>
  <r>
    <s v="Factura electrónica"/>
    <s v="9567080276254f32229ea81f29ebb20f17f8734af7413c8f1cad7052c54201f3a1221ff222b76a2cd0142d62c92dc13c"/>
    <n v="12726"/>
    <d v="2025-09-19T00:00:00"/>
    <x v="12"/>
    <x v="12"/>
    <n v="901907732"/>
    <s v="TECNOTICS S.A.S."/>
    <n v="369000"/>
    <n v="0"/>
    <n v="0"/>
    <n v="0"/>
    <n v="0"/>
    <n v="369000"/>
  </r>
  <r>
    <s v="Factura electrónica"/>
    <s v="ddba709f908e2c54e6d623fbf6a716f42f4f4e262b3f633abfb9bc465c9985c68f7e7feded2faa63d5ea5752c600ccc3"/>
    <n v="1267"/>
    <d v="2025-09-19T00:00:00"/>
    <x v="23"/>
    <x v="23"/>
    <n v="901907732"/>
    <s v="TECNOTICS SAS"/>
    <n v="200000"/>
    <n v="0"/>
    <n v="0"/>
    <n v="0"/>
    <n v="0"/>
    <n v="200000"/>
  </r>
  <r>
    <s v="Factura electrónica"/>
    <s v="a922100c8651da2d0776659fb74652807af3e82eff64c6e4b1c4ef2fbb32986ffff2deba2c48e7ec91107108ff18bce1"/>
    <n v="7453913"/>
    <d v="2025-09-18T00:00:00"/>
    <x v="6"/>
    <x v="6"/>
    <n v="901907732"/>
    <s v="Tecnotics S.A.S "/>
    <n v="3781.51"/>
    <n v="718.49"/>
    <n v="0"/>
    <n v="0"/>
    <n v="0"/>
    <n v="4500"/>
  </r>
  <r>
    <s v="Factura electrónica"/>
    <s v="ca5cd058587d9f4bbb6896284d0cb1c0dc78755f4858ddc719f6d428693a271c372dab3f370d2a88eaa4f20a027825eb"/>
    <n v="3530546"/>
    <d v="2025-09-18T00:00:00"/>
    <x v="46"/>
    <x v="46"/>
    <n v="901907732"/>
    <s v="TECNOTICS SAS"/>
    <n v="23200"/>
    <n v="0"/>
    <n v="0"/>
    <n v="0"/>
    <n v="0"/>
    <n v="23200"/>
  </r>
  <r>
    <s v="Factura electrónica"/>
    <s v="d159b7fa59b465f4df572636b8f47d56d8099176229ec8680b3980be09d7b194fe04c85b73286cdaddad233c8edded2d"/>
    <n v="621"/>
    <d v="2025-09-17T00:00:00"/>
    <x v="15"/>
    <x v="15"/>
    <n v="901907732"/>
    <s v="TECNOTICS SAS"/>
    <n v="773239.64"/>
    <n v="146916"/>
    <n v="0"/>
    <n v="0"/>
    <n v="0"/>
    <n v="920155.64"/>
  </r>
  <r>
    <s v="Factura electrónica"/>
    <s v="f4f75341eda8c09faa2fea9c2d33e9a37e6cf5a332e60f3c630075bdc9e52020931962df99d4d6b7bfbada843f79e611"/>
    <n v="76731"/>
    <d v="2025-09-16T00:00:00"/>
    <x v="7"/>
    <x v="7"/>
    <n v="901907732"/>
    <s v="Tecnotics S.A.S"/>
    <n v="528571.43999999994"/>
    <n v="100428.57"/>
    <n v="0"/>
    <n v="0"/>
    <n v="0"/>
    <n v="629000.01"/>
  </r>
  <r>
    <s v="Factura electrónica"/>
    <s v="ba425e303477ee192016715367d32a8a2c3286f8e6a4dbf469149e03619ac6161ad881eb23de76daf8939e6c356ac376"/>
    <n v="10508"/>
    <d v="2025-09-16T00:00:00"/>
    <x v="13"/>
    <x v="13"/>
    <n v="901907732"/>
    <s v="TECNOTICS SAS"/>
    <n v="4845042"/>
    <n v="513958"/>
    <n v="0"/>
    <n v="0"/>
    <n v="0"/>
    <n v="5359000"/>
  </r>
  <r>
    <s v="Factura electrónica"/>
    <s v="89b39289c67be3e4f446d7bb27a9704702f20fe0d6499a411bad8f30a898f11b86dc664b4ece388399189e687d9de834"/>
    <n v="568128"/>
    <d v="2025-09-15T00:00:00"/>
    <x v="0"/>
    <x v="0"/>
    <n v="901907732"/>
    <s v="TECNOTICS S.A.S."/>
    <n v="708734"/>
    <n v="0"/>
    <n v="0"/>
    <n v="0"/>
    <n v="0"/>
    <n v="708734"/>
  </r>
  <r>
    <s v="Factura electrónica"/>
    <s v="65686902e59975c5e2f928ce9ebdf8c8dd76820a1b100a887415ae2f41db5b71190a14236879cedf86cdecadc3d266dd"/>
    <n v="10489"/>
    <d v="2025-09-15T00:00:00"/>
    <x v="13"/>
    <x v="13"/>
    <n v="901907732"/>
    <s v="TECNOTICS SAS"/>
    <n v="381513"/>
    <n v="72487"/>
    <n v="0"/>
    <n v="0"/>
    <n v="0"/>
    <n v="454000"/>
  </r>
  <r>
    <s v="Factura electrónica"/>
    <s v="70263731b33dee4a420c94cfa99895354e1b656db62625be4616df039ba16ba1caa70e8310b108959f958aad55e30985"/>
    <n v="10488"/>
    <d v="2025-09-15T00:00:00"/>
    <x v="13"/>
    <x v="13"/>
    <n v="901907732"/>
    <s v="TECNOTICS SAS"/>
    <n v="2478992"/>
    <n v="471008"/>
    <n v="0"/>
    <n v="0"/>
    <n v="0"/>
    <n v="2950000"/>
  </r>
  <r>
    <s v="Factura electrónica"/>
    <s v="6f9a2112ddf231c733ca7270e481e84a32f1c4ed59f24e4c461f65bae820f7f126ea6633233dc8d73b9749db7ae599ea"/>
    <n v="585"/>
    <d v="2025-09-15T00:00:00"/>
    <x v="15"/>
    <x v="15"/>
    <n v="901907732"/>
    <s v="TECNOTICS SAS"/>
    <n v="1597652.16"/>
    <n v="303554"/>
    <n v="0"/>
    <n v="0"/>
    <n v="0"/>
    <n v="1901206.16"/>
  </r>
  <r>
    <s v="Factura electrónica"/>
    <s v="2c4d788f70dfc5877e1abddfcadf77c1349ebce1dfa21f804a2e3d8a95e5cb3a9201b1e8cd2e7b2f283981b8cb1a4213"/>
    <n v="12687"/>
    <d v="2025-09-13T00:00:00"/>
    <x v="12"/>
    <x v="12"/>
    <n v="901907732"/>
    <s v="TECNOTICS S.A.S."/>
    <n v="282000"/>
    <n v="0"/>
    <n v="0"/>
    <n v="0"/>
    <n v="0"/>
    <n v="282000"/>
  </r>
  <r>
    <s v="Documento equivalente - Cobro de peajes"/>
    <s v="858e9b3c09b0d0fe50269062f793c24e19a12f87111ea3d07cc0ac4aa95d5e9f3105cbb74bf385c2270fde1d27c5df97"/>
    <n v="55866386"/>
    <d v="2025-09-12T00:00:00"/>
    <x v="6"/>
    <x v="6"/>
    <n v="901907732"/>
    <s v="Tecnotics S.A.S "/>
    <n v="25000"/>
    <n v="0"/>
    <n v="0"/>
    <n v="0"/>
    <n v="0"/>
    <n v="25000"/>
  </r>
  <r>
    <s v="Factura electrónica"/>
    <s v="032a520251e0d803bc1582963c42cebd5e621023ca87cc5c65908d0d2d5ddb4f334a7e1401c03ae824024e2c2fa1f947"/>
    <n v="1265"/>
    <d v="2025-09-12T00:00:00"/>
    <x v="23"/>
    <x v="23"/>
    <n v="901907732"/>
    <s v="TECNOTICS SAS"/>
    <n v="300000"/>
    <n v="0"/>
    <n v="0"/>
    <n v="0"/>
    <n v="0"/>
    <n v="300000"/>
  </r>
  <r>
    <s v="Factura electrónica"/>
    <s v="84aae069b88681214d0cbb308ae3bd5144aa7005ec1aff084f67e2a55c9d4fb1bce580fef1a6a7bce62db0a5306f2578"/>
    <n v="567321"/>
    <d v="2025-09-11T00:00:00"/>
    <x v="0"/>
    <x v="0"/>
    <n v="901907732"/>
    <s v="TECNOTICS S.A.S."/>
    <n v="841427"/>
    <n v="0"/>
    <n v="0"/>
    <n v="0"/>
    <n v="0"/>
    <n v="841427"/>
  </r>
  <r>
    <s v="Factura electrónica"/>
    <s v="1fa1fa9086cd69769627c3db8cb707b194e39ab8b51b5d24ec744801a11b3250805d647be17d42f03c08544afc40c075"/>
    <n v="567320"/>
    <d v="2025-09-11T00:00:00"/>
    <x v="0"/>
    <x v="0"/>
    <n v="901907732"/>
    <s v="TECNOTICS S.A.S."/>
    <n v="1059887"/>
    <n v="0"/>
    <n v="0"/>
    <n v="0"/>
    <n v="0"/>
    <n v="1059887"/>
  </r>
  <r>
    <s v="Factura electrónica"/>
    <s v="f7f2febfd91693b2874b36a758d5970068dfc92725c3493ce893c4d69396b11e31f7a92891b521d20f58a0398c9cef8e"/>
    <n v="567319"/>
    <d v="2025-09-11T00:00:00"/>
    <x v="0"/>
    <x v="0"/>
    <n v="901907732"/>
    <s v="TECNOTICS S.A.S."/>
    <n v="317763"/>
    <n v="0"/>
    <n v="0"/>
    <n v="0"/>
    <n v="0"/>
    <n v="317763"/>
  </r>
  <r>
    <s v="Factura electrónica"/>
    <s v="7ac07863d10c743a66879e8049988e9c34a21a95556ba5d6b3d4835e43d28089c7f492221e15bfb3623085ac490cad12"/>
    <n v="567318"/>
    <d v="2025-09-11T00:00:00"/>
    <x v="0"/>
    <x v="0"/>
    <n v="901907732"/>
    <s v="TECNOTICS S.A.S."/>
    <n v="433086"/>
    <n v="0"/>
    <n v="0"/>
    <n v="0"/>
    <n v="0"/>
    <n v="433086"/>
  </r>
  <r>
    <s v="Factura electrónica"/>
    <s v="057a5a69f33eeab605b358d99f74834d33f9c7c6ae055e410835a520efefa62bb6cfdb7f27b74e11b19966f62bad088c"/>
    <n v="567317"/>
    <d v="2025-09-11T00:00:00"/>
    <x v="0"/>
    <x v="0"/>
    <n v="901907732"/>
    <s v="TECNOTICS S.A.S."/>
    <n v="559606"/>
    <n v="0"/>
    <n v="0"/>
    <n v="0"/>
    <n v="0"/>
    <n v="559606"/>
  </r>
  <r>
    <s v="Factura electrónica"/>
    <s v="72e33582a0d6c337a8b57c56ab4219348af925c8294a14d6671c7174420bb73b3864efeeca6d3b22f20c29fa24b09cac"/>
    <n v="567316"/>
    <d v="2025-09-11T00:00:00"/>
    <x v="0"/>
    <x v="0"/>
    <n v="901907732"/>
    <s v="TECNOTICS S.A.S."/>
    <n v="234004"/>
    <n v="0"/>
    <n v="0"/>
    <n v="0"/>
    <n v="0"/>
    <n v="234004"/>
  </r>
  <r>
    <s v="Factura electrónica"/>
    <s v="bc6d17c2e8332a939bffc90cab62d03c330a664a5e29abab50c328211ad79fb97a78fc19a0a5da6cb2d4ee368477da11"/>
    <n v="567315"/>
    <d v="2025-09-11T00:00:00"/>
    <x v="0"/>
    <x v="0"/>
    <n v="901907732"/>
    <s v="TECNOTICS S.A.S."/>
    <n v="138409"/>
    <n v="0"/>
    <n v="0"/>
    <n v="0"/>
    <n v="0"/>
    <n v="138409"/>
  </r>
  <r>
    <s v="Factura electrónica"/>
    <s v="58d58082b64a608b3b62b0d2e956999988af30bf3022abcf9ae3e4d7a9dab83ed34c2987eaabd37d6766360f61c56b6f"/>
    <n v="567314"/>
    <d v="2025-09-11T00:00:00"/>
    <x v="0"/>
    <x v="0"/>
    <n v="901907732"/>
    <s v="TECNOTICS S.A.S."/>
    <n v="339432"/>
    <n v="0"/>
    <n v="0"/>
    <n v="0"/>
    <n v="0"/>
    <n v="339432"/>
  </r>
  <r>
    <s v="Factura electrónica"/>
    <s v="e39ee8b77f8b5fb34cd701d5899cf3e71902665894319cfb1232f28fd63831f1240360f9a4d56e6927fab53c224ee6dd"/>
    <n v="567313"/>
    <d v="2025-09-11T00:00:00"/>
    <x v="0"/>
    <x v="0"/>
    <n v="901907732"/>
    <s v="TECNOTICS S.A.S."/>
    <n v="2894306"/>
    <n v="0"/>
    <n v="0"/>
    <n v="0"/>
    <n v="0"/>
    <n v="2894306"/>
  </r>
  <r>
    <s v="Factura electrónica"/>
    <s v="454337d13639cf7cee3142e9bf7fae67eb0fdec7ff0d7d176d0725846dcb754d30fc8a8d3c7a8d49a8667117359e4c9a"/>
    <n v="567312"/>
    <d v="2025-09-11T00:00:00"/>
    <x v="0"/>
    <x v="0"/>
    <n v="901907732"/>
    <s v="TECNOTICS S.A.S."/>
    <n v="733767"/>
    <n v="0"/>
    <n v="0"/>
    <n v="0"/>
    <n v="0"/>
    <n v="733767"/>
  </r>
  <r>
    <s v="Factura electrónica"/>
    <s v="128d9bc878b8d2c4239a8789eda80bfa87611dc25a200696154d1cd221a72c720238d50223a07987333075b92b77f956"/>
    <n v="567311"/>
    <d v="2025-09-11T00:00:00"/>
    <x v="0"/>
    <x v="0"/>
    <n v="901907732"/>
    <s v="TECNOTICS S.A.S."/>
    <n v="129758"/>
    <n v="0"/>
    <n v="0"/>
    <n v="0"/>
    <n v="0"/>
    <n v="129758"/>
  </r>
  <r>
    <s v="Factura electrónica"/>
    <s v="ec8ce1b96bd83df1950d382bdad1693a61b93ea4ad75527efd0e35fbd30bd479a4b1e9d71f7d8f0d785dee44288f5977"/>
    <n v="567310"/>
    <d v="2025-09-11T00:00:00"/>
    <x v="0"/>
    <x v="0"/>
    <n v="901907732"/>
    <s v="TECNOTICS S.A.S."/>
    <n v="823861"/>
    <n v="0"/>
    <n v="0"/>
    <n v="0"/>
    <n v="0"/>
    <n v="823861"/>
  </r>
  <r>
    <s v="Factura electrónica"/>
    <s v="d02d65651377068cf0204e0d294d14b8d359a3133656773bcf775c8889c1292b1c1965de9a15d5b1d58d17eadd263e26"/>
    <n v="567145"/>
    <d v="2025-09-11T00:00:00"/>
    <x v="0"/>
    <x v="0"/>
    <n v="901907732"/>
    <s v="TECNOTICS S.A.S."/>
    <n v="1424220"/>
    <n v="0"/>
    <n v="0"/>
    <n v="0"/>
    <n v="0"/>
    <n v="1424220"/>
  </r>
  <r>
    <s v="Documento equivalente - Cobro de peajes"/>
    <s v="195e55f7a33927bba636dde726edef4348c6deedea2d50e075ecea0572a64585e686de2ac5e715e718e3c46f751ba3a4"/>
    <n v="55702730"/>
    <d v="2025-09-11T00:00:00"/>
    <x v="6"/>
    <x v="6"/>
    <n v="901907732"/>
    <s v="Tecnotics S.A.S "/>
    <n v="12900"/>
    <n v="0"/>
    <n v="0"/>
    <n v="0"/>
    <n v="0"/>
    <n v="12900"/>
  </r>
  <r>
    <s v="Factura electrónica"/>
    <s v="9c1aa3fb97264c8274ff1e3fbfcce65fbfea7484c716d27325d477bdc34c80859f4625e233f40c7eeae8f6fa7d639140"/>
    <n v="147828571"/>
    <d v="2025-09-11T00:00:00"/>
    <x v="10"/>
    <x v="10"/>
    <n v="901907732"/>
    <s v="TECNOTICS  SAS"/>
    <n v="48987.89"/>
    <n v="9307.69"/>
    <n v="0"/>
    <n v="924.42"/>
    <n v="0"/>
    <n v="59220"/>
  </r>
  <r>
    <s v="Documento equivalente - Cobro de peajes"/>
    <s v="863a6f895cde40fd23896952a8f36835dd6b0d2faa8b2c3fcbf248494c7ad1580b7fc7352e79abe9ddd5a44900aa1301"/>
    <n v="55479942"/>
    <d v="2025-09-10T00:00:00"/>
    <x v="6"/>
    <x v="6"/>
    <n v="901907732"/>
    <s v="Tecnotics S.A.S "/>
    <n v="25000"/>
    <n v="0"/>
    <n v="0"/>
    <n v="0"/>
    <n v="0"/>
    <n v="25000"/>
  </r>
  <r>
    <s v="Factura electrónica"/>
    <s v="6126c60c776d417e583a3b35cbc46985804f3e2ab0a79f401fb545b74dfa5f8714cab11abeac6b3fbfcae67788cf7661"/>
    <n v="566123"/>
    <d v="2025-09-09T00:00:00"/>
    <x v="0"/>
    <x v="0"/>
    <n v="901907732"/>
    <s v="TECNOTICS S.A.S."/>
    <n v="488401"/>
    <n v="0"/>
    <n v="0"/>
    <n v="0"/>
    <n v="0"/>
    <n v="488401"/>
  </r>
  <r>
    <s v="Documento equivalente - Cobro de peajes"/>
    <s v="2e98f29816360557dd7ca407d21879516b72f50e6abd40206e9b3eeaf0b2d390234d87c0d3e92274dd848de493fcb0ec"/>
    <n v="55313227"/>
    <d v="2025-09-09T00:00:00"/>
    <x v="6"/>
    <x v="6"/>
    <n v="901907732"/>
    <s v="Tecnotics S.A.S "/>
    <n v="25000"/>
    <n v="0"/>
    <n v="0"/>
    <n v="0"/>
    <n v="0"/>
    <n v="25000"/>
  </r>
  <r>
    <s v="Factura electrónica"/>
    <s v="8a228f1e948aa68135ec49d9c1f87eb8f6ac1ca7406541b00dfb9274501f12d3fbd5c1960840d72f9c637fc12d180646"/>
    <n v="12644"/>
    <d v="2025-09-05T00:00:00"/>
    <x v="12"/>
    <x v="12"/>
    <n v="901907732"/>
    <s v="TECNOTICS S.A.S."/>
    <n v="352000"/>
    <n v="0"/>
    <n v="0"/>
    <n v="0"/>
    <n v="0"/>
    <n v="352000"/>
  </r>
  <r>
    <s v="Factura electrónica"/>
    <s v="77bb4289d8fd6b871815438c44cb25a736810decb076cb8ea45c3ec6faf10ac7f474d73cfbe85b9ee74cc8a8211918d5"/>
    <n v="1264"/>
    <d v="2025-09-05T00:00:00"/>
    <x v="23"/>
    <x v="23"/>
    <n v="901907732"/>
    <s v="TECNOTICS SAS"/>
    <n v="200000"/>
    <n v="0"/>
    <n v="0"/>
    <n v="0"/>
    <n v="0"/>
    <n v="200000"/>
  </r>
  <r>
    <s v="Factura electrónica"/>
    <s v="87688fd30d1317905e5e51de679dd7b20074d2b591fda7b5093745f1e53b692fc18bd644037277962a1621b930bff602"/>
    <n v="8240171"/>
    <d v="2025-09-04T00:00:00"/>
    <x v="6"/>
    <x v="6"/>
    <n v="901907732"/>
    <s v="Tecnotics S.A.S"/>
    <n v="6512.61"/>
    <n v="1237.3900000000001"/>
    <n v="0"/>
    <n v="0"/>
    <n v="0"/>
    <n v="7750"/>
  </r>
  <r>
    <s v="Factura electrónica"/>
    <s v="1910cd9d6966f6c2ac133bb6bccacf650ce3adf50136266b7031ecba8f1088fa423b0cdad4f9d14a1c08900cb537a15d"/>
    <n v="7034"/>
    <d v="2025-09-04T00:00:00"/>
    <x v="25"/>
    <x v="25"/>
    <n v="901907732"/>
    <s v="TECNOTICS SAS"/>
    <n v="1095180"/>
    <n v="0"/>
    <n v="0"/>
    <n v="0"/>
    <n v="0"/>
    <n v="1095180"/>
  </r>
  <r>
    <s v="Factura electrónica"/>
    <s v="ea9a9bbb7042e392e0abc1a8d4d8eff0bf44627d3852ba6a52430a0044de5485f5eb3bff22807d787868f25bd3057566"/>
    <n v="184450"/>
    <d v="2025-09-03T00:00:00"/>
    <x v="15"/>
    <x v="15"/>
    <n v="901907732"/>
    <s v="TECNOTICS SAS"/>
    <n v="581611.73"/>
    <n v="110507"/>
    <n v="0"/>
    <n v="0"/>
    <n v="0"/>
    <n v="692118.73"/>
  </r>
  <r>
    <s v="Factura electrónica"/>
    <s v="14ca005420c1c98806c53b0cef532e8fba32902c59391551d6f032ebb381ec9b1b5055ccb7a167fd88e1f891e428dd76"/>
    <n v="184262"/>
    <d v="2025-09-02T00:00:00"/>
    <x v="15"/>
    <x v="15"/>
    <n v="901907732"/>
    <s v="TECNOTICS SAS"/>
    <n v="144193.20000000001"/>
    <n v="27397"/>
    <n v="0"/>
    <n v="0"/>
    <n v="0"/>
    <n v="171590.2"/>
  </r>
  <r>
    <s v="Factura electrónica"/>
    <s v="a9dcf5bf2edc6b5cbd92e2f44d995b065c06e9bc69de528ba558183d73549f276bfaf5f017953c9736de58269656fb53"/>
    <n v="430006"/>
    <d v="2025-09-02T00:00:00"/>
    <x v="44"/>
    <x v="44"/>
    <n v="901907732"/>
    <s v="TECNOTICS SAS"/>
    <n v="34891.93"/>
    <n v="6629.47"/>
    <n v="0"/>
    <n v="0"/>
    <n v="0"/>
    <n v="41521.4"/>
  </r>
  <r>
    <s v="Factura electrónica"/>
    <s v="e65f1f06fb7cf087f72a749386534ecfccb45155e6c4520f2773f13bb24680031089c11be9249e692520156395b6bbc6"/>
    <n v="184248"/>
    <d v="2025-09-02T00:00:00"/>
    <x v="15"/>
    <x v="15"/>
    <n v="901907732"/>
    <s v="TECNOTICS SAS"/>
    <n v="1982241.46"/>
    <n v="376626"/>
    <n v="0"/>
    <n v="0"/>
    <n v="0"/>
    <n v="2358867.46"/>
  </r>
  <r>
    <s v="Factura electrónica"/>
    <s v="2f55770938e607f180e474e015bfb56ef26e5d49c3dcd706663d39978e4e9c250a0d796105084ea0eef72789e0531c1d"/>
    <n v="2059"/>
    <d v="2025-09-01T00:00:00"/>
    <x v="37"/>
    <x v="37"/>
    <n v="901907732"/>
    <s v="TECNOTICS SAS"/>
    <n v="2166644.0100000002"/>
    <n v="411662.36"/>
    <n v="0"/>
    <n v="0"/>
    <n v="0"/>
    <n v="2578306.37"/>
  </r>
  <r>
    <s v="Factura electrónica"/>
    <s v="642195f51f0ad5a8061311b49cfc1f88bd03da5a3f1b548123cb51ce797d97802b8cac7b21b21805d34d2c528579ea16"/>
    <n v="160155"/>
    <d v="2025-08-30T00:00:00"/>
    <x v="29"/>
    <x v="29"/>
    <n v="901907732"/>
    <s v="TECNOTICS SAS"/>
    <n v="87487.49"/>
    <n v="15199.51"/>
    <n v="1584"/>
    <n v="0"/>
    <n v="159"/>
    <n v="104430"/>
  </r>
  <r>
    <s v="Factura electrónica"/>
    <s v="291f624f42091a2dcc46f0767689acae00b835671f08495cb756e0c77f3936e4fc17a561c525dfe5bf5d9dc4a181df9b"/>
    <n v="67"/>
    <d v="2025-08-30T00:00:00"/>
    <x v="2"/>
    <x v="2"/>
    <n v="901907732"/>
    <s v="TECNOTICS SAS"/>
    <n v="122000"/>
    <n v="0"/>
    <n v="0"/>
    <n v="0"/>
    <n v="0"/>
    <n v="122000"/>
  </r>
  <r>
    <s v="Factura electrónica"/>
    <s v="b3c69e1ba6e6c8b2637dec4cda0f05f5e8d4d074ec3821e9ab158b9c6f5175d55aa5e94ec5e5c707476b8d7414b348bc"/>
    <n v="12607"/>
    <d v="2025-08-29T00:00:00"/>
    <x v="12"/>
    <x v="12"/>
    <n v="901907732"/>
    <s v="TECNOTICS S.A.S."/>
    <n v="217000"/>
    <n v="0"/>
    <n v="0"/>
    <n v="0"/>
    <n v="0"/>
    <n v="217000"/>
  </r>
  <r>
    <s v="Factura electrónica"/>
    <s v="5015d3c383bb233c3af7bc43edff4af683e7fa82067f4c183ad9cbeab09c3e7d0bada6105a4213fd174c332ecf9f62d8"/>
    <n v="1262"/>
    <d v="2025-08-29T00:00:00"/>
    <x v="23"/>
    <x v="23"/>
    <n v="901907732"/>
    <s v="TECNOTICS SAS"/>
    <n v="200000"/>
    <n v="0"/>
    <n v="0"/>
    <n v="0"/>
    <n v="0"/>
    <n v="200000"/>
  </r>
  <r>
    <s v="Factura electrónica"/>
    <s v="7f073f0db44731ad7cc2327c234736833004414a241d224ba701c3c181193a420fc27f975c9180b6d7283ee6eaaa0533"/>
    <n v="122362"/>
    <d v="2025-08-28T00:00:00"/>
    <x v="9"/>
    <x v="9"/>
    <n v="901907732"/>
    <s v="TECNO TIC SAS "/>
    <n v="9243.7000000000007"/>
    <n v="1756.3"/>
    <n v="0"/>
    <n v="0"/>
    <n v="0"/>
    <n v="11000"/>
  </r>
  <r>
    <s v="Factura electrónica"/>
    <s v="e99f839d54515751c81da67ccf60ac7517467510b6951456e1fba121e629f935bf9a24a209d5e440bd16de26b1e74066"/>
    <n v="563380"/>
    <d v="2025-08-28T00:00:00"/>
    <x v="0"/>
    <x v="0"/>
    <n v="901907732"/>
    <s v="TECNOTICS S.A.S."/>
    <n v="57122"/>
    <n v="10853"/>
    <n v="0"/>
    <n v="0"/>
    <n v="0"/>
    <n v="67975"/>
  </r>
  <r>
    <s v="Factura electrónica"/>
    <s v="fd687931756e365179adc6e79150418b6f710168a9303bbc37e7bfb49519eceddc590a3552bad40cc3ad7b5a6c9376e0"/>
    <n v="277351"/>
    <d v="2025-08-28T00:00:00"/>
    <x v="47"/>
    <x v="47"/>
    <n v="901907732"/>
    <s v="Tecnotics S.A.S"/>
    <n v="83865.55"/>
    <n v="15934.45"/>
    <n v="0"/>
    <n v="0"/>
    <n v="0"/>
    <n v="99800"/>
  </r>
  <r>
    <s v="Factura electrónica"/>
    <s v="3b228e3891551512b9861a0bdfe5bacff65d556853ace6247730df9731699ff1521dedc0d50cee2529d65b147cb4ec83"/>
    <n v="144732655"/>
    <d v="2025-08-26T00:00:00"/>
    <x v="10"/>
    <x v="10"/>
    <n v="901907732"/>
    <s v="TECNOTICS  SAS"/>
    <n v="105211.91"/>
    <n v="19990.2"/>
    <n v="0"/>
    <n v="1980.89"/>
    <n v="0"/>
    <n v="127183"/>
  </r>
  <r>
    <s v="Factura electrónica"/>
    <s v="92af09880765a0c279d6bf7ca56ce4f2bfe95adef92349e7435849340db9fb239465a8a3dca8896302ce1ab425654b4b"/>
    <n v="276809"/>
    <d v="2025-08-25T00:00:00"/>
    <x v="47"/>
    <x v="47"/>
    <n v="901907732"/>
    <s v="Tecnotics S.A.S"/>
    <n v="20084.03"/>
    <n v="3815.97"/>
    <n v="0"/>
    <n v="0"/>
    <n v="0"/>
    <n v="23900"/>
  </r>
  <r>
    <s v="Factura electrónica"/>
    <s v="4cfe6a74ff49e8a5db2ff1bbd9214a6dd0e43f7b4e000f36dd9fb4db5f998310308594d4bdb16dc50607fa151fa4058d"/>
    <n v="144577034"/>
    <d v="2025-08-25T00:00:00"/>
    <x v="10"/>
    <x v="10"/>
    <n v="901907732"/>
    <s v="TECNOTICS   SAS"/>
    <n v="74884.299999999988"/>
    <n v="14228.1"/>
    <n v="0"/>
    <n v="1320.6"/>
    <n v="0"/>
    <n v="90433"/>
  </r>
  <r>
    <s v="Factura electrónica"/>
    <s v="42fd47e2de1daa23cd10dd111750a157590fa0fd099155ac62cb430155d7a56fcbf0cf6ef3d04a1885f195605491a877"/>
    <n v="144577216"/>
    <d v="2025-08-25T00:00:00"/>
    <x v="10"/>
    <x v="10"/>
    <n v="901907732"/>
    <s v="TECNOTICS SAS  TECNOTICS SAS"/>
    <n v="23603.5"/>
    <n v="4484.7299999999996"/>
    <n v="0"/>
    <n v="126.77"/>
    <n v="0"/>
    <n v="28215"/>
  </r>
  <r>
    <s v="Factura electrónica"/>
    <s v="7b85c120736eb1db56a8acf5c7d67f23b36216820e4df7b2c7d90397f1877c3288637b7f3b7a0cac661d292a91c51e11"/>
    <n v="9951"/>
    <d v="2025-08-22T00:00:00"/>
    <x v="13"/>
    <x v="13"/>
    <n v="901907732"/>
    <s v="TECNOTICS SAS"/>
    <n v="311261"/>
    <n v="59139"/>
    <n v="0"/>
    <n v="0"/>
    <n v="0"/>
    <n v="370400"/>
  </r>
  <r>
    <s v="Factura electrónica"/>
    <s v="9c332e36f6fa223374daf04aba55c26511f4ad66dbbced7782e7cfa1198440505d6edf18fa02bcbaefa04bd84422cbd3"/>
    <n v="9950"/>
    <d v="2025-08-22T00:00:00"/>
    <x v="13"/>
    <x v="13"/>
    <n v="901907732"/>
    <s v="TECNOTICS SAS"/>
    <n v="342000"/>
    <n v="0"/>
    <n v="0"/>
    <n v="0"/>
    <n v="0"/>
    <n v="342000"/>
  </r>
  <r>
    <s v="Factura electrónica"/>
    <s v="eb38db630f4f53efb383ffdebc44efe6b8e592375868f6ccbd22b50b8d720a6fe42716dcec29bfb1ed4ab6faf53e9de5"/>
    <n v="12562"/>
    <d v="2025-08-22T00:00:00"/>
    <x v="12"/>
    <x v="12"/>
    <n v="901907732"/>
    <s v="TECNOTICS S.A.S."/>
    <n v="189000"/>
    <n v="0"/>
    <n v="0"/>
    <n v="0"/>
    <n v="0"/>
    <n v="189000"/>
  </r>
  <r>
    <s v="Factura electrónica"/>
    <s v="36db97ceed11aab42c43672076d26527f2a3305f2ccb8fe40c46b063183ee92398ab3c3ad464c62bfc036a3a053e749e"/>
    <n v="7075924"/>
    <d v="2025-08-22T00:00:00"/>
    <x v="6"/>
    <x v="6"/>
    <n v="901907732"/>
    <s v="Tecnotics S.A.S "/>
    <n v="5042.0200000000004"/>
    <n v="957.98"/>
    <n v="0"/>
    <n v="0"/>
    <n v="0"/>
    <n v="6000"/>
  </r>
  <r>
    <s v="Factura electrónica"/>
    <s v="88ee287195e81d9a55d3ccff8bd1476d8704a2546ef6a8b28b33615671d73cbbb00f3f8f6e8ab7ce2ae6aec0a05c9c80"/>
    <n v="1260"/>
    <d v="2025-08-22T00:00:00"/>
    <x v="23"/>
    <x v="23"/>
    <n v="901907732"/>
    <s v="TECNOTICS SAS"/>
    <n v="100000"/>
    <n v="0"/>
    <n v="0"/>
    <n v="0"/>
    <n v="0"/>
    <n v="100000"/>
  </r>
  <r>
    <s v="Factura electrónica"/>
    <s v="e80e5952b099ba09d52e5fb9ac6c922aaa5094e2734e35d78dd914e980572f93c59c5ab9a80e73c23247576d8db1a4b4"/>
    <n v="9926"/>
    <d v="2025-08-22T00:00:00"/>
    <x v="13"/>
    <x v="13"/>
    <n v="901907732"/>
    <s v="TECNOTICS SAS"/>
    <n v="159664"/>
    <n v="30336"/>
    <n v="0"/>
    <n v="0"/>
    <n v="0"/>
    <n v="190000"/>
  </r>
  <r>
    <s v="Factura electrónica"/>
    <s v="d414b43407262fa9abe2696b266ba3d8ee1d0d5b95c959e6695ebcf96596fd0b99a5a3012d42051f4cfeb7f0a4200617"/>
    <n v="275873"/>
    <d v="2025-08-21T00:00:00"/>
    <x v="47"/>
    <x v="47"/>
    <n v="901907732"/>
    <s v="Tecnotics S.A.S"/>
    <n v="54537.82"/>
    <n v="10362.18"/>
    <n v="0"/>
    <n v="0"/>
    <n v="0"/>
    <n v="64900"/>
  </r>
  <r>
    <s v="Factura electrónica"/>
    <s v="3626afd8a668a750f016a4eed3a900828e4d663a7f6c308119634901648b89ad5cb47ba871a95b563c844528e12789a2"/>
    <n v="2"/>
    <d v="2025-08-21T00:00:00"/>
    <x v="48"/>
    <x v="48"/>
    <n v="901907732"/>
    <s v="TECNOTICS SAS"/>
    <n v="92782"/>
    <n v="17628.580000000002"/>
    <n v="0"/>
    <n v="0"/>
    <n v="0"/>
    <n v="110410.58"/>
  </r>
  <r>
    <s v="Factura electrónica"/>
    <s v="7d9a6d0f94acfd283d853b66c537b70540dcfc9b4c5f8d7ab569e0dee9be5bf9ed8f5e74fd38ea9a93666c4931d5ae92"/>
    <n v="120197"/>
    <d v="2025-08-20T00:00:00"/>
    <x v="9"/>
    <x v="9"/>
    <n v="901907732"/>
    <s v="TECNO TIC SAS "/>
    <n v="110084.03"/>
    <n v="20915.97"/>
    <n v="0"/>
    <n v="0"/>
    <n v="0"/>
    <n v="131000"/>
  </r>
  <r>
    <s v="Factura electrónica"/>
    <s v="4c29daf64623143819da40ff186fa6b2ea3fdc4cf12b74775cead3437bb83e4b9ae0466acf54ffc133cf332e020e5bdc"/>
    <n v="12543"/>
    <d v="2025-08-19T00:00:00"/>
    <x v="12"/>
    <x v="12"/>
    <n v="901907732"/>
    <s v="TECNOTICS S.A.S."/>
    <n v="295000"/>
    <n v="0"/>
    <n v="0"/>
    <n v="0"/>
    <n v="0"/>
    <n v="295000"/>
  </r>
  <r>
    <s v="Factura electrónica"/>
    <s v="57db0b5aa138b14b1efa27e2f611956f42d31ce75ae91d0219b45d1204b159cb9473f43a6ec324f9f470b7192d5c960c"/>
    <n v="255367"/>
    <d v="2025-08-16T00:00:00"/>
    <x v="29"/>
    <x v="29"/>
    <n v="901907732"/>
    <s v="TECNOTICS SAS"/>
    <n v="39210.100000000006"/>
    <n v="7449.91"/>
    <n v="0"/>
    <n v="0"/>
    <n v="0"/>
    <n v="46660.01"/>
  </r>
  <r>
    <s v="Documento equivalente POS"/>
    <s v="62390a46183a40ef9d3b183c6571e58ad5b44c234c2fc18e6623ddc7c40851a01bcd4ab7cd4eab1aef1d98e1a4fe7d4d"/>
    <n v="18828"/>
    <d v="2025-08-16T00:00:00"/>
    <x v="49"/>
    <x v="49"/>
    <n v="901907732"/>
    <s v="TECNOTICS SAS"/>
    <n v="54074.07"/>
    <n v="0"/>
    <n v="0"/>
    <n v="4325.93"/>
    <n v="0"/>
    <n v="58400"/>
  </r>
  <r>
    <s v="Factura electrónica"/>
    <s v="44d9eb38571222dc3b15faeadef50f246c59ec87af04d16cf6ce78807dc05009bf9c64425421affaadc9961e3d403a3b"/>
    <n v="274208"/>
    <d v="2025-08-15T00:00:00"/>
    <x v="47"/>
    <x v="47"/>
    <n v="901907732"/>
    <s v="Tecnotics S.A.S"/>
    <n v="27647.06"/>
    <n v="5252.94"/>
    <n v="0"/>
    <n v="0"/>
    <n v="0"/>
    <n v="32900"/>
  </r>
  <r>
    <s v="Factura electrónica"/>
    <s v="287b128b232e44ca0762ff7d9b89ada1853368647a1eab41359e84951db48e12073bfcb10a6c2430c40c565c1fb08278"/>
    <n v="5129"/>
    <d v="2025-08-15T00:00:00"/>
    <x v="50"/>
    <x v="50"/>
    <n v="901907732"/>
    <s v="TECNOTICS SAS"/>
    <n v="12562140"/>
    <n v="0"/>
    <n v="0"/>
    <n v="0"/>
    <n v="0"/>
    <n v="12562140"/>
  </r>
  <r>
    <s v="Factura electrónica"/>
    <s v="e158687fc3f1fbdf3f5514b5f9b265c17838059bd46c44fcc1d878bdf70d592cc7ee758cb10f9211d12cd294f1c2473d"/>
    <n v="1259"/>
    <d v="2025-08-15T00:00:00"/>
    <x v="23"/>
    <x v="23"/>
    <n v="901907732"/>
    <s v="TECNOTICS SAS"/>
    <n v="200000"/>
    <n v="0"/>
    <n v="0"/>
    <n v="0"/>
    <n v="0"/>
    <n v="200000"/>
  </r>
  <r>
    <s v="Factura electrónica"/>
    <s v="1f3dc7828f088c5f071f838a81172def5e87844d01c00e8d9aa3ae0069361a377584a2acae5baeabf63a65d1a9a4e39f"/>
    <n v="9696"/>
    <d v="2025-08-12T00:00:00"/>
    <x v="13"/>
    <x v="13"/>
    <n v="901907732"/>
    <s v="TECNOTICS SAS"/>
    <n v="15294"/>
    <n v="2906"/>
    <n v="0"/>
    <n v="0"/>
    <n v="0"/>
    <n v="18200"/>
  </r>
  <r>
    <s v="Factura electrónica"/>
    <s v="5cd36cfab5a185ae5d628f3a22c8309f59827eb85a654183cb13ab1d163e5fba64569f45ac331caa45acd39abf2343e4"/>
    <n v="559232"/>
    <d v="2025-08-11T00:00:00"/>
    <x v="0"/>
    <x v="0"/>
    <n v="901907732"/>
    <s v="TECNOTICS S.A.S."/>
    <n v="1132412"/>
    <n v="0"/>
    <n v="0"/>
    <n v="0"/>
    <n v="0"/>
    <n v="1132412"/>
  </r>
  <r>
    <s v="Factura electrónica"/>
    <s v="a9cdfe2982a1aac4b0b0d7e509ea1b4dd41767674b976a665513048188ef8f49b6de30c88d2ba67517df48ee176229f3"/>
    <n v="559231"/>
    <d v="2025-08-11T00:00:00"/>
    <x v="0"/>
    <x v="0"/>
    <n v="901907732"/>
    <s v="TECNOTICS S.A.S."/>
    <n v="857277"/>
    <n v="0"/>
    <n v="0"/>
    <n v="0"/>
    <n v="0"/>
    <n v="857277"/>
  </r>
  <r>
    <s v="Factura electrónica"/>
    <s v="6bf3e1b53211dd81ab898158c5322da1644b65fed81b57433e93e14ad8b3704f08e5d7c58c046b8c0141cef44710af89"/>
    <n v="559230"/>
    <d v="2025-08-11T00:00:00"/>
    <x v="0"/>
    <x v="0"/>
    <n v="901907732"/>
    <s v="TECNOTICS S.A.S."/>
    <n v="326931"/>
    <n v="0"/>
    <n v="0"/>
    <n v="0"/>
    <n v="0"/>
    <n v="326931"/>
  </r>
  <r>
    <s v="Factura electrónica"/>
    <s v="7d94d5eed929a21b4db30e5be13d949b983af7d1fefc9ccec15cd98839c709ab242758444f160d5098cd12c7f3dfe264"/>
    <n v="559185"/>
    <d v="2025-08-11T00:00:00"/>
    <x v="0"/>
    <x v="0"/>
    <n v="901907732"/>
    <s v="TECNOTICS S.A.S."/>
    <n v="445583"/>
    <n v="0"/>
    <n v="0"/>
    <n v="0"/>
    <n v="0"/>
    <n v="445583"/>
  </r>
  <r>
    <s v="Factura electrónica"/>
    <s v="b2191404efc062fb8392aeea64837157a3614360d7e0abd13afd5ce5a0d809d8bede24625f4b508179db179997383185"/>
    <n v="559184"/>
    <d v="2025-08-11T00:00:00"/>
    <x v="0"/>
    <x v="0"/>
    <n v="901907732"/>
    <s v="TECNOTICS S.A.S."/>
    <n v="575753"/>
    <n v="0"/>
    <n v="0"/>
    <n v="0"/>
    <n v="0"/>
    <n v="575753"/>
  </r>
  <r>
    <s v="Factura electrónica"/>
    <s v="0a2b8f21e862d521cdfd21253337abb0bb9179333cc7057f0c37f9546a46aeeaee1c48c76fa3b405bf23fb57ff0014be"/>
    <n v="559164"/>
    <d v="2025-08-11T00:00:00"/>
    <x v="0"/>
    <x v="0"/>
    <n v="901907732"/>
    <s v="TECNOTICS S.A.S."/>
    <n v="240756"/>
    <n v="0"/>
    <n v="0"/>
    <n v="0"/>
    <n v="0"/>
    <n v="240756"/>
  </r>
  <r>
    <s v="Factura electrónica"/>
    <s v="90bc2502e65fd8349d4a444c348fc812d3f0e0eb15fc5c01c2999cba48a30d7551e8cb15a9684c211ee2d015e9888e1e"/>
    <n v="559161"/>
    <d v="2025-08-11T00:00:00"/>
    <x v="0"/>
    <x v="0"/>
    <n v="901907732"/>
    <s v="TECNOTICS S.A.S."/>
    <n v="142402"/>
    <n v="0"/>
    <n v="0"/>
    <n v="0"/>
    <n v="0"/>
    <n v="142402"/>
  </r>
  <r>
    <s v="Factura electrónica"/>
    <s v="2f195c11197e2380d9fe8c77ae2101be9807a761458a35765ebc5f31f3015430d383d5e6ca7ee03eba64b8576b4a9927"/>
    <n v="559159"/>
    <d v="2025-08-11T00:00:00"/>
    <x v="0"/>
    <x v="0"/>
    <n v="901907732"/>
    <s v="TECNOTICS S.A.S."/>
    <n v="349226"/>
    <n v="0"/>
    <n v="0"/>
    <n v="0"/>
    <n v="0"/>
    <n v="349226"/>
  </r>
  <r>
    <s v="Factura electrónica"/>
    <s v="76f80e7d785576d364fef90e44ad564837b7c942833a186f99eb1780f58a45a8bfaa1da62f3eb15d7ab3743e2427eac8"/>
    <n v="559144"/>
    <d v="2025-08-11T00:00:00"/>
    <x v="0"/>
    <x v="0"/>
    <n v="901907732"/>
    <s v="TECNOTICS S.A.S."/>
    <n v="2610585"/>
    <n v="0"/>
    <n v="0"/>
    <n v="0"/>
    <n v="0"/>
    <n v="2610585"/>
  </r>
  <r>
    <s v="Factura electrónica"/>
    <s v="24e4aae82f01d25e6fba237f7ea861c55640235ebf4e36e3c0936af5a11ddba0aad1c68d8fa2fdb07f8d6ba8012876cc"/>
    <n v="559126"/>
    <d v="2025-08-11T00:00:00"/>
    <x v="0"/>
    <x v="0"/>
    <n v="901907732"/>
    <s v="TECNOTICS S.A.S."/>
    <n v="754941"/>
    <n v="0"/>
    <n v="0"/>
    <n v="0"/>
    <n v="0"/>
    <n v="754941"/>
  </r>
  <r>
    <s v="Factura electrónica"/>
    <s v="54eff040f5f580ae38ff3fcf3f72727b0945fac7b478494065dcf699a7c44a68b12f2d88c7a9d5f1a130ce8d870bdc1d"/>
    <n v="559125"/>
    <d v="2025-08-11T00:00:00"/>
    <x v="0"/>
    <x v="0"/>
    <n v="901907732"/>
    <s v="TECNOTICS S.A.S."/>
    <n v="133502"/>
    <n v="0"/>
    <n v="0"/>
    <n v="0"/>
    <n v="0"/>
    <n v="133502"/>
  </r>
  <r>
    <s v="Factura electrónica"/>
    <s v="c4f4b023fb79fd2c63e6f606ad4b905f0c43f8780579b386e77cc7a915b9d989d52f28a6f1d86b2d3343570c8bf91b5d"/>
    <n v="559124"/>
    <d v="2025-08-11T00:00:00"/>
    <x v="0"/>
    <x v="0"/>
    <n v="901907732"/>
    <s v="TECNOTICS S.A.S."/>
    <n v="847634"/>
    <n v="0"/>
    <n v="0"/>
    <n v="0"/>
    <n v="0"/>
    <n v="847634"/>
  </r>
  <r>
    <s v="Factura electrónica"/>
    <s v="c666872f917b767656c382e8f3b2fbd632d7a15ec42ea4b5b6b30fa593e9d4f793238d3970a456a9832f009505fca4c1"/>
    <n v="2034"/>
    <d v="2025-08-11T00:00:00"/>
    <x v="51"/>
    <x v="51"/>
    <n v="901907732"/>
    <s v="TECNOTICS SAS"/>
    <n v="180000"/>
    <n v="0"/>
    <n v="0"/>
    <n v="0"/>
    <n v="0"/>
    <n v="180000"/>
  </r>
  <r>
    <s v="Factura electrónica"/>
    <s v="a8ba1147ebfb18d1e09622f4303ff36cafa654e5007d20e32ce4239be11aa2f509f09969026fca126523f01be01f91f1"/>
    <n v="559111"/>
    <d v="2025-08-11T00:00:00"/>
    <x v="0"/>
    <x v="0"/>
    <n v="901907732"/>
    <s v="TECNOTICS S.A.S."/>
    <n v="499387"/>
    <n v="0"/>
    <n v="0"/>
    <n v="0"/>
    <n v="0"/>
    <n v="499387"/>
  </r>
  <r>
    <s v="Factura electrónica"/>
    <s v="72264f127437a786cb755513bf30bd23740e87f7630c0c62635dbf93a43f1eeb5a632fbb54c98bb4cf0e03e4179a93ed"/>
    <n v="12510"/>
    <d v="2025-08-11T00:00:00"/>
    <x v="12"/>
    <x v="12"/>
    <n v="901907732"/>
    <s v="TECNOTICS S.A.S."/>
    <n v="296500"/>
    <n v="0"/>
    <n v="0"/>
    <n v="0"/>
    <n v="0"/>
    <n v="296500"/>
  </r>
  <r>
    <s v="Factura electrónica"/>
    <s v="d705b1312040451f29209a540e360a7d4f154a44dff4b47bec69ec2e94dc6b892cc8e5357dc2c205ce9e8a273e356c06"/>
    <n v="143002472"/>
    <d v="2025-08-11T00:00:00"/>
    <x v="10"/>
    <x v="10"/>
    <n v="901907732"/>
    <s v="TECNOTICS  SAS"/>
    <n v="26243.519999999997"/>
    <n v="4986.26"/>
    <n v="0"/>
    <n v="495.22"/>
    <n v="0"/>
    <n v="31725"/>
  </r>
  <r>
    <s v="Factura electrónica"/>
    <s v="f81497b5a68d03ce4ee372af39a057b0c1b502ba617537a808532ffc2dfa68ad5367e0149a4bbdfccb7b3d5f9b2da1d4"/>
    <n v="558625"/>
    <d v="2025-08-08T00:00:00"/>
    <x v="0"/>
    <x v="0"/>
    <n v="901907732"/>
    <s v="TECNOTICS S.A.S."/>
    <n v="1425725"/>
    <n v="0"/>
    <n v="0"/>
    <n v="0"/>
    <n v="0"/>
    <n v="1425725"/>
  </r>
  <r>
    <s v="Factura electrónica"/>
    <s v="d5af5c2513fb6b974dd3a9972a5b820f0ae02dbd12fa2f3e61d3ac036925812312ae0834aa28621f59c3800432cb7927"/>
    <n v="14725"/>
    <d v="2025-08-08T00:00:00"/>
    <x v="24"/>
    <x v="24"/>
    <n v="901907732"/>
    <s v="TECNOTICS SAS"/>
    <n v="55000"/>
    <n v="10450"/>
    <n v="0"/>
    <n v="0"/>
    <n v="0"/>
    <n v="65450"/>
  </r>
  <r>
    <s v="Factura electrónica"/>
    <s v="c9e485cf31633375ab66c33a2740f477c25506a88f88df52272eaa775a1f4c2a639c54a049aa869b1be53293d5aa2b34"/>
    <n v="1078"/>
    <d v="2025-08-08T00:00:00"/>
    <x v="52"/>
    <x v="52"/>
    <n v="901907732"/>
    <s v="TECNOTICS SAS"/>
    <n v="207000"/>
    <n v="39330"/>
    <n v="0"/>
    <n v="0"/>
    <n v="0"/>
    <n v="246330"/>
  </r>
  <r>
    <s v="Factura electrónica"/>
    <s v="dffc1862afc2a3b9cda0ea11375b137b1b232aac447d0b8abf5a1b55a2caffd49f59e667aa3cecc50f4d24b4cabd1bc1"/>
    <n v="1255"/>
    <d v="2025-08-08T00:00:00"/>
    <x v="23"/>
    <x v="23"/>
    <n v="901907732"/>
    <s v="TECNOTICS SAS"/>
    <n v="100000"/>
    <n v="0"/>
    <n v="0"/>
    <n v="0"/>
    <n v="0"/>
    <n v="100000"/>
  </r>
  <r>
    <s v="Factura electrónica"/>
    <s v="8648d9f688c6ad7411c24871915ad99045fef2c4bd4e3d14d3e41bfa978beae91c31ca133936ed445e7c746c2c2ec1a9"/>
    <n v="180622"/>
    <d v="2025-08-05T00:00:00"/>
    <x v="15"/>
    <x v="15"/>
    <n v="901907732"/>
    <s v="TECNOTICS SAS"/>
    <n v="161641.64000000001"/>
    <n v="30712"/>
    <n v="0"/>
    <n v="0"/>
    <n v="0"/>
    <n v="192353.64"/>
  </r>
  <r>
    <s v="Factura electrónica"/>
    <s v="e5d4e09fb5e0bd16eac66259e29e48bcb3e232b8f25acbdb78fb89d5da37be5f9514c5d7b9d52e0722c6667ff10cbb5c"/>
    <n v="6854"/>
    <d v="2025-08-05T00:00:00"/>
    <x v="25"/>
    <x v="25"/>
    <n v="901907732"/>
    <s v="TECNOTICS SAS"/>
    <n v="1485618.48"/>
    <n v="0"/>
    <n v="0"/>
    <n v="0"/>
    <n v="0"/>
    <n v="1485618.48"/>
  </r>
  <r>
    <s v="Factura electrónica"/>
    <s v="6741452a0b6e6905bf8adcbe371803a3473a5c574f4a7d56990409f3b7565a9eef10cb58ba90f2d5a570c5f2131061df"/>
    <n v="428749"/>
    <d v="2025-08-05T00:00:00"/>
    <x v="44"/>
    <x v="44"/>
    <n v="901907732"/>
    <s v="TECNOTICS SAS"/>
    <n v="145471.4"/>
    <n v="27639.56"/>
    <n v="0"/>
    <n v="0"/>
    <n v="0"/>
    <n v="173110.96"/>
  </r>
  <r>
    <s v="Factura electrónica"/>
    <s v="c178d1a97512aab50cb459ac8aec009477d396cae98967a09ba2a79254bfd609d120bd23a8ffa204120d4fc402fb8ebe"/>
    <n v="6321"/>
    <d v="2025-08-05T00:00:00"/>
    <x v="11"/>
    <x v="11"/>
    <n v="901907732"/>
    <s v="TECNOTICS SAS"/>
    <n v="34000"/>
    <n v="0"/>
    <n v="0"/>
    <n v="0"/>
    <n v="0"/>
    <n v="34000"/>
  </r>
  <r>
    <s v="Factura electrónica"/>
    <s v="1250d379d03b42e1c6ae6d23de416918ba245462c095d5ae53ec24ec6c7e41e1eed2b81c4f66ecc918ba2b2e970ee1c0"/>
    <n v="31385"/>
    <d v="2025-08-04T00:00:00"/>
    <x v="53"/>
    <x v="53"/>
    <n v="901907732"/>
    <s v="TECNOTICS SAS"/>
    <n v="3824256"/>
    <n v="726609"/>
    <n v="0"/>
    <n v="0"/>
    <n v="0"/>
    <n v="4550865"/>
  </r>
  <r>
    <s v="Factura electrónica"/>
    <s v="0d7cf87a3182b960dc6e4ee67193938c31bf5a6fef0e62c54e32f51621c184140d8b59c51695552c4231df16c587585d"/>
    <n v="3460575"/>
    <d v="2025-08-04T00:00:00"/>
    <x v="46"/>
    <x v="46"/>
    <n v="901907732"/>
    <s v="TECNOTICS SAS"/>
    <n v="11600"/>
    <n v="0"/>
    <n v="0"/>
    <n v="0"/>
    <n v="0"/>
    <n v="11600"/>
  </r>
  <r>
    <s v="Factura electrónica"/>
    <s v="6c2b126110d1f5f4bc31813d0fad6d318a7b05e4ee08bf6337d0ce399db9d6942e2fb1899dedbc6158e6deba94ab1583"/>
    <n v="68885"/>
    <d v="2025-08-02T00:00:00"/>
    <x v="54"/>
    <x v="54"/>
    <n v="901907732"/>
    <s v="TECNOTICS SAS"/>
    <n v="60000"/>
    <n v="11400"/>
    <n v="0"/>
    <n v="0"/>
    <n v="0"/>
    <n v="71400"/>
  </r>
  <r>
    <s v="Factura electrónica"/>
    <s v="1b9940bcc3d2285ed59876a2d042fc16ad5dc893dde50550a7d20612e0fe9a56176a0dfc9a34e2a0e384c9856f195a7c"/>
    <n v="109078"/>
    <d v="2025-08-01T00:00:00"/>
    <x v="18"/>
    <x v="18"/>
    <n v="901907732"/>
    <s v="TECNOTICS SAS"/>
    <n v="74583"/>
    <n v="14171"/>
    <n v="0"/>
    <n v="0"/>
    <n v="0"/>
    <n v="88754"/>
  </r>
  <r>
    <s v="Factura electrónica"/>
    <s v="9206ad72535e31f66572a7aebaa23787c01050a0ad8b52bb08bf22b3835c9fa91c1940583c2d5ee4090f3666a5e0abc5"/>
    <n v="208"/>
    <d v="2025-08-01T00:00:00"/>
    <x v="15"/>
    <x v="15"/>
    <n v="901907732"/>
    <s v="TECNOTICS SAS"/>
    <n v="94062.6"/>
    <n v="17873"/>
    <n v="0"/>
    <n v="0"/>
    <n v="0"/>
    <n v="111935.6"/>
  </r>
  <r>
    <s v="Factura electrónica"/>
    <s v="4a86743d2d4bfd32dc7f0feaa6ea7bc14e8232e2c29f0fa1179c58327d3f1936c109bbc27e0703ea754b810c88a2ddb4"/>
    <n v="114259"/>
    <d v="2025-07-31T00:00:00"/>
    <x v="9"/>
    <x v="9"/>
    <n v="901907732"/>
    <s v="TECNO TIC SAS "/>
    <n v="7394.96"/>
    <n v="1405.04"/>
    <n v="0"/>
    <n v="0"/>
    <n v="0"/>
    <n v="8800"/>
  </r>
  <r>
    <s v="Factura electrónica"/>
    <s v="2935c1bc116edf20d9f4a63d2c6588d9acda326ac28c825c054e3dac9cd6cb0629f27d28344a65862a937db46c8f98c8"/>
    <n v="180087"/>
    <d v="2025-07-31T00:00:00"/>
    <x v="15"/>
    <x v="15"/>
    <n v="901907732"/>
    <s v="TECNOTICS SAS"/>
    <n v="2013135"/>
    <n v="382496"/>
    <n v="0"/>
    <n v="0"/>
    <n v="0"/>
    <n v="2395631"/>
  </r>
  <r>
    <s v="Factura electrónica"/>
    <s v="36a0ee60a9a2d9b33f423fc9ab5985d52500b2a0cedaadbf3330db939db7d76c4b4722a27bf7d3104310f50333fef4dd"/>
    <n v="180086"/>
    <d v="2025-07-31T00:00:00"/>
    <x v="15"/>
    <x v="15"/>
    <n v="901907732"/>
    <s v="TECNOTICS SAS"/>
    <n v="4957947.8600000003"/>
    <n v="942011"/>
    <n v="0"/>
    <n v="0"/>
    <n v="0"/>
    <n v="5899958.8600000003"/>
  </r>
  <r>
    <s v="Factura electrónica"/>
    <s v="a7368722bf2b7d31d1dee005456a194b53551cadedb2c0613dc57f2ff5b7adb5adc129db02ae632be8e3e74081e389a0"/>
    <n v="556688"/>
    <d v="2025-07-31T00:00:00"/>
    <x v="0"/>
    <x v="0"/>
    <n v="901907732"/>
    <s v="TECNOTICS S.A.S."/>
    <n v="1537762"/>
    <n v="0"/>
    <n v="0"/>
    <n v="0"/>
    <n v="0"/>
    <n v="1537762"/>
  </r>
  <r>
    <s v="Factura electrónica"/>
    <s v="16e9846096a6de9f3d76a743c837b7b2e65aeb2fcb43a61f32bd6a9d841123a015ba1910714bba48073bf46554c1fbf8"/>
    <n v="12475"/>
    <d v="2025-07-31T00:00:00"/>
    <x v="12"/>
    <x v="12"/>
    <n v="901907732"/>
    <s v="TECNOTICS S.A.S."/>
    <n v="245000"/>
    <n v="0"/>
    <n v="0"/>
    <n v="0"/>
    <n v="0"/>
    <n v="245000"/>
  </r>
  <r>
    <s v="Factura electrónica"/>
    <s v="c5ca712fddae68e9d5faf759da957694f52feb2c5baf4664769cee0d8fdc2fedbe121e3f10a05c4d3e6dc071b5291837"/>
    <n v="4291"/>
    <d v="2025-07-30T00:00:00"/>
    <x v="55"/>
    <x v="55"/>
    <n v="901907732"/>
    <s v="TECNOTICS SAS"/>
    <n v="518487.4"/>
    <n v="98512.61"/>
    <n v="0"/>
    <n v="0"/>
    <n v="0"/>
    <n v="617000.01"/>
  </r>
  <r>
    <s v="Factura electrónica"/>
    <s v="998f09f9de047fad5934b1602fc5250a3d8820eb40587723e1043a8649abe63a3c7d3ab6695c6b5aeb2930a2fc525af7"/>
    <n v="30427"/>
    <d v="2025-07-30T00:00:00"/>
    <x v="38"/>
    <x v="38"/>
    <n v="901907732"/>
    <s v="TECNOTICS SAS"/>
    <n v="468067.17999999993"/>
    <n v="88932.76"/>
    <n v="0"/>
    <n v="0"/>
    <n v="0"/>
    <n v="556999.93999999994"/>
  </r>
  <r>
    <s v="Factura electrónica"/>
    <s v="c9065fa063325bce19ce539685d7bd340b3cfc7480391cb3181220a6c3955e31d662c411cc07b641d244c366c7f9c7dc"/>
    <n v="74405"/>
    <d v="2025-07-30T00:00:00"/>
    <x v="7"/>
    <x v="7"/>
    <n v="901907732"/>
    <s v="Tecnotics S.A.S"/>
    <n v="159663.87"/>
    <n v="30336.15"/>
    <n v="0"/>
    <n v="0"/>
    <n v="0"/>
    <n v="190000.02"/>
  </r>
  <r>
    <s v="Factura electrónica"/>
    <s v="067e5b219a959d55aaaf7ea9fd96dca3ba2c487f76b58e498684dd0b63049a90d62206bc8d51a83f9a40c879f7b8d669"/>
    <n v="49661"/>
    <d v="2025-07-29T00:00:00"/>
    <x v="56"/>
    <x v="56"/>
    <n v="901907732"/>
    <s v="TECNOTICS"/>
    <n v="229779"/>
    <n v="0"/>
    <n v="0"/>
    <n v="16710"/>
    <n v="0"/>
    <n v="246489"/>
  </r>
  <r>
    <s v="Factura electrónica"/>
    <s v="2a2f24c0d8016ddcc1ef2211c40eac60ae0712ce89512807b211c0e3a9ad5599698269ceaef552048e8d02d3bf6467b9"/>
    <n v="139938665"/>
    <d v="2025-07-26T00:00:00"/>
    <x v="10"/>
    <x v="10"/>
    <n v="901907732"/>
    <s v="TECNOTICS  SAS"/>
    <n v="78906.17"/>
    <n v="14992.16"/>
    <n v="0"/>
    <n v="1485.67"/>
    <n v="0"/>
    <n v="95384"/>
  </r>
  <r>
    <s v="Factura electrónica"/>
    <s v="7e89ea498b09023c19f11d78492c18afd7e556f90922c258241a64f0fb92aa89e460f59e079dc5bc6ae76e443af6794e"/>
    <n v="4675"/>
    <d v="2025-07-25T00:00:00"/>
    <x v="57"/>
    <x v="57"/>
    <n v="901907732"/>
    <s v="TECNOTICS SAS"/>
    <n v="29411.759999999998"/>
    <n v="5588.23"/>
    <n v="0"/>
    <n v="0"/>
    <n v="0"/>
    <n v="34999.99"/>
  </r>
  <r>
    <s v="Factura electrónica"/>
    <s v="baad59c21af8eba4fdd93c25182c7ee86c3bdf2cb8d8747c11ba986297819833df112552c27a89a84ad5b31ce2418bf7"/>
    <n v="50134"/>
    <d v="2025-07-25T00:00:00"/>
    <x v="13"/>
    <x v="13"/>
    <n v="901907732"/>
    <s v="TECNOTICS SAS"/>
    <n v="219664"/>
    <n v="41736"/>
    <n v="0"/>
    <n v="0"/>
    <n v="0"/>
    <n v="261400"/>
  </r>
  <r>
    <s v="Factura electrónica"/>
    <s v="9be9e7a91cf525d8cc6290e1fe961d1947dbdc5b5c777cd2daa49a8b7377f3845629d5a2b1bdd20ad111715c2700d94a"/>
    <n v="193489"/>
    <d v="2025-07-25T00:00:00"/>
    <x v="20"/>
    <x v="20"/>
    <n v="901907732"/>
    <s v="TECNOTICS SAS"/>
    <n v="121430.00000000001"/>
    <n v="23071.7"/>
    <n v="0"/>
    <n v="0"/>
    <n v="0"/>
    <n v="144501.70000000001"/>
  </r>
  <r>
    <s v="Factura electrónica"/>
    <s v="e6b40c06f1bc9399a5a0ec9a7b59464c5cc02d3e910387c8275dd73722c763dd3d099999f75267c71f5ca918f458a6fb"/>
    <n v="12449"/>
    <d v="2025-07-25T00:00:00"/>
    <x v="12"/>
    <x v="12"/>
    <n v="901907732"/>
    <s v="TECNOTICS S.A.S."/>
    <n v="272000"/>
    <n v="0"/>
    <n v="0"/>
    <n v="0"/>
    <n v="0"/>
    <n v="272000"/>
  </r>
  <r>
    <s v="Factura electrónica"/>
    <s v="73b1823bb79630aa0901c9721490509340751dc9c9eea7b48f0d5669756ec1dfa2405c32652dbef4bd25a3a35035565a"/>
    <n v="1252"/>
    <d v="2025-07-25T00:00:00"/>
    <x v="23"/>
    <x v="23"/>
    <n v="901907732"/>
    <s v="TECNOTICS SAS"/>
    <n v="200000"/>
    <n v="0"/>
    <n v="0"/>
    <n v="0"/>
    <n v="0"/>
    <n v="200000"/>
  </r>
  <r>
    <s v="Factura electrónica"/>
    <s v="322ae689b7f08291b443ad6ee26faf7f80a38c53fd982c51618ff3e71c8ab160fde945cf838b5723fd3f41512a55f7dd"/>
    <n v="139784028"/>
    <d v="2025-07-24T00:00:00"/>
    <x v="10"/>
    <x v="10"/>
    <n v="901907732"/>
    <s v="TECNOTICS   SAS"/>
    <n v="74825.599999999991"/>
    <n v="14216.8"/>
    <n v="0"/>
    <n v="1320.6"/>
    <n v="0"/>
    <n v="90363"/>
  </r>
  <r>
    <s v="Factura electrónica"/>
    <s v="75b38cb12816283ff296c834f3c5a73323ba2ae44ddd50d31c8e73661079c4a2c8191cd2e0249f329714841325387e7a"/>
    <n v="52167"/>
    <d v="2025-07-22T00:00:00"/>
    <x v="58"/>
    <x v="58"/>
    <n v="901907732"/>
    <s v="TECNOTICS SAS"/>
    <n v="100840.34"/>
    <n v="19159.66"/>
    <n v="0"/>
    <n v="0"/>
    <n v="0"/>
    <n v="120000"/>
  </r>
  <r>
    <s v="Factura electrónica"/>
    <s v="157d60ff35bb1a2d9b2c9096e74074af70967241f79cfcce37a6f7479a97de504d004c10a22a8c2333abfcc3ed0b8186"/>
    <n v="78841"/>
    <d v="2025-07-21T00:00:00"/>
    <x v="4"/>
    <x v="4"/>
    <n v="901907732"/>
    <s v="TECNOTICS SAS"/>
    <n v="4500"/>
    <n v="855"/>
    <n v="0"/>
    <n v="0"/>
    <n v="0"/>
    <n v="5355"/>
  </r>
  <r>
    <s v="Factura electrónica"/>
    <s v="9ebf1bd074cf29b127b3ee0dc2d1ebb0c522fbe618666ad0cd6613e2dbf69fc008f71850362048549aaba7ba13df0b08"/>
    <n v="553594"/>
    <d v="2025-07-21T00:00:00"/>
    <x v="0"/>
    <x v="0"/>
    <n v="901907732"/>
    <s v="TECNOTICS S.A.S."/>
    <n v="3024400"/>
    <n v="0"/>
    <n v="0"/>
    <n v="0"/>
    <n v="0"/>
    <n v="3024400"/>
  </r>
  <r>
    <s v="Factura electrónica"/>
    <s v="1d5e043306489066fe69d727cf5336ad721811cdb7f7b88a429fda8fc28829862d20c73685ecb351bb4667c27fc52254"/>
    <n v="111375"/>
    <d v="2025-07-21T00:00:00"/>
    <x v="9"/>
    <x v="9"/>
    <n v="901907732"/>
    <s v="TECNO TIC SAS "/>
    <n v="110084.03"/>
    <n v="20915.97"/>
    <n v="0"/>
    <n v="0"/>
    <n v="0"/>
    <n v="131000"/>
  </r>
  <r>
    <s v="Factura electrónica"/>
    <s v="4e9683c900624ebb5a0fc21349abcd0a8d7eed2ae4555eda67f86bace4fa729050cf75fc45af0ca06ba14fd59b3f1677"/>
    <n v="12418"/>
    <d v="2025-07-18T00:00:00"/>
    <x v="12"/>
    <x v="12"/>
    <n v="901907732"/>
    <s v="TECNOTICS S.A.S."/>
    <n v="62000"/>
    <n v="0"/>
    <n v="0"/>
    <n v="0"/>
    <n v="0"/>
    <n v="62000"/>
  </r>
  <r>
    <s v="Factura electrónica"/>
    <s v="299182bc630e18d07480eac8a64652583e6fa2868f8dfc3ddb45a87f6792420d8761f62f7d43979d2eb821a2237ea79e"/>
    <n v="1250"/>
    <d v="2025-07-18T00:00:00"/>
    <x v="23"/>
    <x v="23"/>
    <n v="901907732"/>
    <s v="TECNOTICS SAS"/>
    <n v="100000"/>
    <n v="0"/>
    <n v="0"/>
    <n v="0"/>
    <n v="0"/>
    <n v="100000"/>
  </r>
  <r>
    <s v="Factura electrónica"/>
    <s v="3dcac5f0b89137e410f9380e7f1b06e800c07f1b26936003cf61b2f624202ba8dff1a27b8c77f1031fd2d00bcf2fbf54"/>
    <n v="12413"/>
    <d v="2025-07-17T00:00:00"/>
    <x v="12"/>
    <x v="12"/>
    <n v="901907732"/>
    <s v="TECNOTICS S.A.S."/>
    <n v="81000"/>
    <n v="0"/>
    <n v="0"/>
    <n v="0"/>
    <n v="0"/>
    <n v="81000"/>
  </r>
  <r>
    <s v="Factura electrónica"/>
    <s v="40920f508fd9e5ee8a795d2e4cc0eeb34046eb83af7e3202886632d38006b57b4dac93a36cd8ba19942a0da2bd33ba88"/>
    <n v="12407"/>
    <d v="2025-07-16T00:00:00"/>
    <x v="12"/>
    <x v="12"/>
    <n v="901907732"/>
    <s v="TECNOTICS S.A.S."/>
    <n v="90000"/>
    <n v="0"/>
    <n v="0"/>
    <n v="0"/>
    <n v="0"/>
    <n v="90000"/>
  </r>
  <r>
    <s v="Factura electrónica"/>
    <s v="980f2123ce19f0979ea40580b4602d9de27b07c31b4b9af8770b7114c87d1c58f7caeafb8a484eb12c3e67e955f4cf35"/>
    <n v="21909"/>
    <d v="2025-07-15T00:00:00"/>
    <x v="59"/>
    <x v="59"/>
    <n v="901907732"/>
    <s v="TECNOTICS SAS"/>
    <n v="29411.764709999999"/>
    <n v="5588.2352899999996"/>
    <n v="0"/>
    <n v="0"/>
    <n v="0"/>
    <n v="35000"/>
  </r>
  <r>
    <s v="Factura electrónica"/>
    <s v="940d0fce546243e70f5aa83338d586c6618cac575388ac6dfbba35f26c9c5e88f9dd8083b9c9e537c3513be03e65c0ed"/>
    <n v="12403"/>
    <d v="2025-07-15T00:00:00"/>
    <x v="12"/>
    <x v="12"/>
    <n v="901907732"/>
    <s v="TECNOTICS S.A.S."/>
    <n v="83000"/>
    <n v="0"/>
    <n v="0"/>
    <n v="0"/>
    <n v="0"/>
    <n v="83000"/>
  </r>
  <r>
    <s v="Factura electrónica"/>
    <s v="ba790d5cdaac483c4bd3f1d79f21a4be5c1fd196597bb8c36f6ca18edcb982b04ec211813696931638c7e5491d0151b1"/>
    <n v="552003"/>
    <d v="2025-07-14T00:00:00"/>
    <x v="0"/>
    <x v="0"/>
    <n v="901907732"/>
    <s v="TECNOTICS S.A.S."/>
    <n v="1357823"/>
    <n v="0"/>
    <n v="0"/>
    <n v="0"/>
    <n v="0"/>
    <n v="1357823"/>
  </r>
  <r>
    <s v="Factura electrónica"/>
    <s v="e43d6813021cc7f3e32a57f14a06eb54e76322d3490d3ced7fafe72a511fb32110622984bda76a921182e7595879493e"/>
    <n v="12397"/>
    <d v="2025-07-14T00:00:00"/>
    <x v="12"/>
    <x v="12"/>
    <n v="901907732"/>
    <s v="TECNOTICS S.A.S."/>
    <n v="88500"/>
    <n v="0"/>
    <n v="0"/>
    <n v="0"/>
    <n v="0"/>
    <n v="88500"/>
  </r>
  <r>
    <s v="Factura electrónica"/>
    <s v="09d697647e92b1fced7ee1ac24edaaeb9ecd1062ed21514ee57cb6c09f3d44cfef28ea9cd131a5fa946f135a004b8272"/>
    <n v="12393"/>
    <d v="2025-07-14T00:00:00"/>
    <x v="12"/>
    <x v="12"/>
    <n v="901907732"/>
    <s v="TECNOTICS S.A.S."/>
    <n v="25000"/>
    <n v="0"/>
    <n v="0"/>
    <n v="0"/>
    <n v="0"/>
    <n v="25000"/>
  </r>
  <r>
    <s v="Factura electrónica"/>
    <s v="235b033746d3fd016e7980ed364810ddbe5208d076e3368a93cf14e45f04e7b5ecbb0b53b4d5af72cfafd5ba3a5bf2c0"/>
    <n v="12386"/>
    <d v="2025-07-12T00:00:00"/>
    <x v="12"/>
    <x v="12"/>
    <n v="901907732"/>
    <s v="TECNOTICS S.A.S."/>
    <n v="85000"/>
    <n v="0"/>
    <n v="0"/>
    <n v="0"/>
    <n v="0"/>
    <n v="85000"/>
  </r>
  <r>
    <s v="Factura electrónica"/>
    <s v="be7f73231d7b09db71befdbf79e973dfd8e37fa5e85d20485e48385e9ee9e2d5104c51b89a84e74e3e1ea0fa0af66e70"/>
    <n v="138211769"/>
    <d v="2025-07-12T00:00:00"/>
    <x v="10"/>
    <x v="10"/>
    <n v="901907732"/>
    <s v="TECNOTICS  SAS"/>
    <n v="26243.519999999997"/>
    <n v="4986.26"/>
    <n v="0"/>
    <n v="495.22"/>
    <n v="0"/>
    <n v="31725"/>
  </r>
  <r>
    <s v="Factura electrónica"/>
    <s v="b3b41e2215851ee47ee41b2b5d9a5f9dab7efdbe53d8a7d86ea9cb1a29d1fb3f14a9477b544617fe7c75e0c003ce57c2"/>
    <n v="551614"/>
    <d v="2025-07-11T00:00:00"/>
    <x v="0"/>
    <x v="0"/>
    <n v="901907732"/>
    <s v="TECNOTICS S.A.S."/>
    <n v="480791"/>
    <n v="0"/>
    <n v="0"/>
    <n v="0"/>
    <n v="0"/>
    <n v="480791"/>
  </r>
  <r>
    <s v="Factura electrónica"/>
    <s v="8b522bda9af3d2fb2a4c71912779082f844683aaac2c9dcef7a253ca7ca18699ed4b56ea20d88328f17773ebd97bb1b0"/>
    <n v="12382"/>
    <d v="2025-07-11T00:00:00"/>
    <x v="12"/>
    <x v="12"/>
    <n v="901907732"/>
    <s v="TECNOTICS S.A.S."/>
    <n v="102000"/>
    <n v="0"/>
    <n v="0"/>
    <n v="0"/>
    <n v="0"/>
    <n v="102000"/>
  </r>
  <r>
    <s v="Factura electrónica"/>
    <s v="35326f7325bd353781cece69ec953bd8a43538d0628df831b51a2f59215578658979169cbac2594e0e679266460f5ac8"/>
    <n v="551377"/>
    <d v="2025-07-11T00:00:00"/>
    <x v="0"/>
    <x v="0"/>
    <n v="901907732"/>
    <s v="TECNOTICS S.A.S."/>
    <n v="325210"/>
    <n v="0"/>
    <n v="0"/>
    <n v="0"/>
    <n v="0"/>
    <n v="325210"/>
  </r>
  <r>
    <s v="Factura electrónica"/>
    <s v="310597557726619cf53e10848507217eb257cfa66a7f1268126ea15a849da6d08d269fbf3c6f83af53e0fbd15310c9a3"/>
    <n v="551375"/>
    <d v="2025-07-11T00:00:00"/>
    <x v="0"/>
    <x v="0"/>
    <n v="901907732"/>
    <s v="TECNOTICS S.A.S."/>
    <n v="1188994"/>
    <n v="0"/>
    <n v="0"/>
    <n v="0"/>
    <n v="0"/>
    <n v="1188994"/>
  </r>
  <r>
    <s v="Factura electrónica"/>
    <s v="14c90b2bdfcd0d8e559d56f27d7c95971dacca86cc23b1a277120c945bcb052e0266d38deb1ffbdd5d01c42113f17351"/>
    <n v="551371"/>
    <d v="2025-07-11T00:00:00"/>
    <x v="0"/>
    <x v="0"/>
    <n v="901907732"/>
    <s v="TECNOTICS S.A.S."/>
    <n v="141653"/>
    <n v="0"/>
    <n v="0"/>
    <n v="0"/>
    <n v="0"/>
    <n v="141653"/>
  </r>
  <r>
    <s v="Factura electrónica"/>
    <s v="5e533c3bc15dac9f8753e4dda8474e986d5fda6937931703be5062b60b833ff151b21504d0f686f2e0f53b0382a2eae4"/>
    <n v="551335"/>
    <d v="2025-07-11T00:00:00"/>
    <x v="0"/>
    <x v="0"/>
    <n v="901907732"/>
    <s v="TECNOTICS S.A.S."/>
    <n v="852765"/>
    <n v="0"/>
    <n v="0"/>
    <n v="0"/>
    <n v="0"/>
    <n v="852765"/>
  </r>
  <r>
    <s v="Factura electrónica"/>
    <s v="acd9cb8f51ee1ff0575f94cd61b294d95785b620bfc66427bf2447417af490dc7a46e3b072d8594ed10004ac02a86fd4"/>
    <n v="1248"/>
    <d v="2025-07-11T00:00:00"/>
    <x v="23"/>
    <x v="23"/>
    <n v="901907732"/>
    <s v="TECNOTICS SAS"/>
    <n v="100000"/>
    <n v="0"/>
    <n v="0"/>
    <n v="0"/>
    <n v="0"/>
    <n v="100000"/>
  </r>
  <r>
    <s v="Factura electrónica"/>
    <s v="e87677c2de7156158cd188ad395f83efc36931047f27f5c39034bf10b25fd7ead92db1e08b321208d9e1db3bfb3e13c8"/>
    <n v="12372"/>
    <d v="2025-07-10T00:00:00"/>
    <x v="12"/>
    <x v="12"/>
    <n v="901907732"/>
    <s v="TECNOTICS S.A.S."/>
    <n v="92000"/>
    <n v="0"/>
    <n v="0"/>
    <n v="0"/>
    <n v="0"/>
    <n v="92000"/>
  </r>
  <r>
    <s v="Factura electrónica"/>
    <s v="e90dbffc595523e09bae7403cff2be4f5d95c3397e1ff9562028cf3b1acf86200d882529116803125648178690fb7895"/>
    <n v="550900"/>
    <d v="2025-07-10T00:00:00"/>
    <x v="0"/>
    <x v="0"/>
    <n v="901907732"/>
    <s v="TECNOTICS S.A.S."/>
    <n v="901183"/>
    <n v="0"/>
    <n v="0"/>
    <n v="0"/>
    <n v="0"/>
    <n v="901183"/>
  </r>
  <r>
    <s v="Factura electrónica"/>
    <s v="9845fabfb83bc2df356a40fd79c0f4e71cceff7ef3f8cf52b013fecf6d8816becce93e8f199311d3f107e42a3312e47a"/>
    <n v="550897"/>
    <d v="2025-07-10T00:00:00"/>
    <x v="0"/>
    <x v="0"/>
    <n v="901907732"/>
    <s v="TECNOTICS S.A.S."/>
    <n v="444628"/>
    <n v="0"/>
    <n v="0"/>
    <n v="0"/>
    <n v="0"/>
    <n v="444628"/>
  </r>
  <r>
    <s v="Factura electrónica"/>
    <s v="292186eee535a771b647f2f2ee4bdb5daa656caf92e1507b4cac8eaadc9648e45bd27f7f58b815d501cbbd3b251d0b63"/>
    <n v="550895"/>
    <d v="2025-07-10T00:00:00"/>
    <x v="0"/>
    <x v="0"/>
    <n v="901907732"/>
    <s v="TECNOTICS S.A.S."/>
    <n v="574519"/>
    <n v="0"/>
    <n v="0"/>
    <n v="0"/>
    <n v="0"/>
    <n v="574519"/>
  </r>
  <r>
    <s v="Factura electrónica"/>
    <s v="25a5c6266eb7d226835e3a801992163da671d8ac7d29249de4d9d5e652f5ad114a7a5029f375d2815d5d6287b482db4b"/>
    <n v="550893"/>
    <d v="2025-07-10T00:00:00"/>
    <x v="0"/>
    <x v="0"/>
    <n v="901907732"/>
    <s v="TECNOTICS S.A.S."/>
    <n v="240240"/>
    <n v="0"/>
    <n v="0"/>
    <n v="0"/>
    <n v="0"/>
    <n v="240240"/>
  </r>
  <r>
    <s v="Factura electrónica"/>
    <s v="cd852b19730c3e70acd395f7b112f0d389bc490483ff9e808b863f35c7a31167027e0c5f41314ccd08fbe1225f5cc3c4"/>
    <n v="550892"/>
    <d v="2025-07-10T00:00:00"/>
    <x v="0"/>
    <x v="0"/>
    <n v="901907732"/>
    <s v="TECNOTICS S.A.S."/>
    <n v="348477"/>
    <n v="0"/>
    <n v="0"/>
    <n v="0"/>
    <n v="0"/>
    <n v="348477"/>
  </r>
  <r>
    <s v="Factura electrónica"/>
    <s v="e4352d011a91a48983fecb91b556a4a938d281b5a9771c6978d6bfe3fc839d022593c5e5d0bf58399b27cf815634de69"/>
    <n v="550891"/>
    <d v="2025-07-10T00:00:00"/>
    <x v="0"/>
    <x v="0"/>
    <n v="901907732"/>
    <s v="TECNOTICS S.A.S."/>
    <n v="2548574"/>
    <n v="0"/>
    <n v="0"/>
    <n v="0"/>
    <n v="0"/>
    <n v="2548574"/>
  </r>
  <r>
    <s v="Factura electrónica"/>
    <s v="7037ef226b35707448dee2861e092c8e29c0e8d4f0af31ac66afe6985f93fbd96a885f26e8b905e4490ad43c50f9df54"/>
    <n v="550890"/>
    <d v="2025-07-10T00:00:00"/>
    <x v="0"/>
    <x v="0"/>
    <n v="901907732"/>
    <s v="TECNOTICS S.A.S."/>
    <n v="753322"/>
    <n v="0"/>
    <n v="0"/>
    <n v="0"/>
    <n v="0"/>
    <n v="753322"/>
  </r>
  <r>
    <s v="Factura electrónica"/>
    <s v="00f870cc0c5858a88acf3c3b200c255010b79900c8deac792071fd5b553dda0f4d44a77b7ad9eacfaf653f7789c0ef85"/>
    <n v="550889"/>
    <d v="2025-07-10T00:00:00"/>
    <x v="0"/>
    <x v="0"/>
    <n v="901907732"/>
    <s v="TECNOTICS S.A.S."/>
    <n v="133216"/>
    <n v="0"/>
    <n v="0"/>
    <n v="0"/>
    <n v="0"/>
    <n v="133216"/>
  </r>
  <r>
    <s v="Factura electrónica"/>
    <s v="2d438a768557e9e2f03e2437c11ad2afa5a2ad196ca0408847a50244065a720a7167a6b6cdcd2d11187e4c6217f33425"/>
    <n v="550888"/>
    <d v="2025-07-10T00:00:00"/>
    <x v="0"/>
    <x v="0"/>
    <n v="901907732"/>
    <s v="TECNOTICS S.A.S."/>
    <n v="845817"/>
    <n v="0"/>
    <n v="0"/>
    <n v="0"/>
    <n v="0"/>
    <n v="845817"/>
  </r>
  <r>
    <s v="Factura electrónica"/>
    <s v="1bf1d390649c3e95c94a0cc464eccc67f3961d52cb1e39dd3fd2f2d7147f19066ece202183f3992ad7be15b13d73d154"/>
    <n v="12365"/>
    <d v="2025-07-09T00:00:00"/>
    <x v="12"/>
    <x v="12"/>
    <n v="901907732"/>
    <s v="TECNOTICS S.A.S."/>
    <n v="128000"/>
    <n v="0"/>
    <n v="0"/>
    <n v="0"/>
    <n v="0"/>
    <n v="128000"/>
  </r>
  <r>
    <s v="Factura electrónica"/>
    <s v="5b9fd733d1ba0d996ef0b9a18b9730245695affe9b87ef330356838fff35f733c1008d970feb961f46fead50ecf57362"/>
    <n v="12353"/>
    <d v="2025-07-08T00:00:00"/>
    <x v="12"/>
    <x v="12"/>
    <n v="901907732"/>
    <s v="TECNOTICS S.A.S."/>
    <n v="103000"/>
    <n v="0"/>
    <n v="0"/>
    <n v="0"/>
    <n v="0"/>
    <n v="103000"/>
  </r>
  <r>
    <s v="Factura electrónica"/>
    <s v="a7c4cff7bd64cb5b524bf1e6b5bee20f4e73fce1e179bf0d227fb4e7b829ba505d2edc454fba45ada88dbe3caed3b576"/>
    <n v="8832"/>
    <d v="2025-07-08T00:00:00"/>
    <x v="13"/>
    <x v="13"/>
    <n v="901907732"/>
    <s v="TECNOTICS SAS"/>
    <n v="34454"/>
    <n v="6546"/>
    <n v="0"/>
    <n v="0"/>
    <n v="0"/>
    <n v="41000"/>
  </r>
  <r>
    <s v="Factura electrónica"/>
    <s v="07bb3a49a614cd13cba178b0a72a7367ad6bc428f50c2b8c097124d07466e0224e5cebfd8a5cb8701819d86c3ae89104"/>
    <n v="12349"/>
    <d v="2025-07-07T00:00:00"/>
    <x v="12"/>
    <x v="12"/>
    <n v="901907732"/>
    <s v="TECNOTICS S.A.S."/>
    <n v="100000"/>
    <n v="0"/>
    <n v="0"/>
    <n v="0"/>
    <n v="0"/>
    <n v="100000"/>
  </r>
  <r>
    <s v="Factura electrónica"/>
    <s v="6349116027d23f83c29b8323efcd65e99a81b53bb7eae99610e24efd096e07da09a7ac8e31ecc25492fb73d7419cab0c"/>
    <n v="6788"/>
    <d v="2025-07-05T00:00:00"/>
    <x v="25"/>
    <x v="25"/>
    <n v="901907732"/>
    <s v="TECNOTICS SAS"/>
    <n v="1053660"/>
    <n v="0"/>
    <n v="0"/>
    <n v="0"/>
    <n v="0"/>
    <n v="1053660"/>
  </r>
  <r>
    <s v="Factura electrónica"/>
    <s v="d5b8ca4b06d474d66232ade6ab633a37a11d251bd6a1ba747c0cb2e5b9c232f354595fc2774fde69a69df4a529dfe49a"/>
    <n v="1247"/>
    <d v="2025-07-04T00:00:00"/>
    <x v="23"/>
    <x v="23"/>
    <n v="901907732"/>
    <s v="TECNOTICS SAS"/>
    <n v="50000"/>
    <n v="0"/>
    <n v="0"/>
    <n v="0"/>
    <n v="0"/>
    <n v="50000"/>
  </r>
  <r>
    <s v="Factura electrónica"/>
    <s v="302db3b6cb9c090347833159fd63e6cac7bce86c462035ab68832d18d6e4cae6a773ac932c6e19838f6af59981cd0a97"/>
    <n v="12334"/>
    <d v="2025-07-04T00:00:00"/>
    <x v="12"/>
    <x v="12"/>
    <n v="901907732"/>
    <s v="TECNOTICS S.A.S."/>
    <n v="139000"/>
    <n v="0"/>
    <n v="0"/>
    <n v="0"/>
    <n v="0"/>
    <n v="139000"/>
  </r>
  <r>
    <s v="Factura electrónica"/>
    <s v="9c8c5d8b34173d598a5cc31952d90f5cef828d75bf5aa62facd5769529931f4d4f06beb806f679a813e27c1e56ef92b6"/>
    <n v="8716"/>
    <d v="2025-07-03T00:00:00"/>
    <x v="13"/>
    <x v="13"/>
    <n v="901907732"/>
    <s v="TECNOTICS SAS"/>
    <n v="66387"/>
    <n v="12613"/>
    <n v="0"/>
    <n v="0"/>
    <n v="0"/>
    <n v="79000"/>
  </r>
  <r>
    <s v="Factura electrónica"/>
    <s v="a373e93073d06795e4b5eacea54a4957bf3080db462a9a575059d9052eacdff83e02c8465dcd2985bc6d48ea3cbc751a"/>
    <n v="12329"/>
    <d v="2025-07-03T00:00:00"/>
    <x v="12"/>
    <x v="12"/>
    <n v="901907732"/>
    <s v="TECNOTICS S.A.S."/>
    <n v="85500"/>
    <n v="0"/>
    <n v="0"/>
    <n v="0"/>
    <n v="0"/>
    <n v="85500"/>
  </r>
  <r>
    <s v="Factura electrónica"/>
    <s v="7e64ea88c72f4e7608eea0a8a726856b012bd87a57b35bf9fef6eb330e8d44335c3b52a77f9f881afd2bc284818e7043"/>
    <n v="5901"/>
    <d v="2025-07-03T00:00:00"/>
    <x v="11"/>
    <x v="11"/>
    <n v="901907732"/>
    <s v="TECNOTICS SAS"/>
    <n v="58368.07"/>
    <n v="4629.93"/>
    <n v="0"/>
    <n v="0"/>
    <n v="0"/>
    <n v="62998"/>
  </r>
  <r>
    <s v="Factura electrónica"/>
    <s v="77dddf078948389e7d404b3f9aea621eab42ecfc4fa983c905f7ecf7186373ab2a4e5f1a1b12c06257dddba81dcbe64b"/>
    <n v="12325"/>
    <d v="2025-07-02T00:00:00"/>
    <x v="12"/>
    <x v="12"/>
    <n v="901907732"/>
    <s v="TECNOTICS S.A.S."/>
    <n v="68000"/>
    <n v="0"/>
    <n v="0"/>
    <n v="0"/>
    <n v="0"/>
    <n v="68000"/>
  </r>
  <r>
    <s v="Factura electrónica"/>
    <s v="3a066e7249de477377886222e06b843cd288235cb7104f23c465c9d3cc7537600d6f3d1ca8cb79b330c22e4e0e5a1d85"/>
    <n v="12320"/>
    <d v="2025-07-01T00:00:00"/>
    <x v="12"/>
    <x v="12"/>
    <n v="901907732"/>
    <s v="TECNOTICS S.A.S."/>
    <n v="76000"/>
    <n v="0"/>
    <n v="0"/>
    <n v="0"/>
    <n v="0"/>
    <n v="76000"/>
  </r>
  <r>
    <s v="Factura electrónica"/>
    <s v="7120d90927de78b775870cd8eb8873bcb9865e2de958b53a318fc4d6a74dd141df01eeec09cab10707f1769ef1e186e2"/>
    <n v="2640"/>
    <d v="2025-07-01T00:00:00"/>
    <x v="5"/>
    <x v="5"/>
    <n v="901907732"/>
    <s v="TECNOTICS SAS"/>
    <n v="938000"/>
    <n v="0"/>
    <n v="0"/>
    <n v="0"/>
    <n v="0"/>
    <n v="938000"/>
  </r>
  <r>
    <s v="Factura electrónica"/>
    <s v="8ede98b6e38fc07d936d444f6151b58653b284c871ba1d3024c4b63f665146c16f9f4580f771c5fb6c0e2d86398d1b73"/>
    <n v="8645"/>
    <d v="2025-07-01T00:00:00"/>
    <x v="13"/>
    <x v="13"/>
    <n v="901907732"/>
    <s v="TECNOTICS SAS"/>
    <n v="359580"/>
    <n v="68320"/>
    <n v="0"/>
    <n v="0"/>
    <n v="0"/>
    <n v="427900"/>
  </r>
  <r>
    <s v="Factura electrónica"/>
    <s v="ee35bb6f47f3114f120ab258902725f2a82d876a0120b9bf87b0e79222cdae7dcc6fce8a0c0b5e7f106b858b7332fb8b"/>
    <n v="1245"/>
    <d v="2025-06-27T00:00:00"/>
    <x v="23"/>
    <x v="23"/>
    <n v="901907732"/>
    <s v="TECNOTICS SAS"/>
    <n v="100000"/>
    <n v="0"/>
    <n v="0"/>
    <n v="0"/>
    <n v="0"/>
    <n v="100000"/>
  </r>
  <r>
    <s v="Nota de crédito electrónica"/>
    <s v="9fe475b6c6537f227c60350439a4eef96ea2ec2a57d3974eab818c60e2cfa6fb0ceacd86fb4eccadaee4f06a5ad70ef2"/>
    <n v="114"/>
    <d v="2025-06-26T00:00:00"/>
    <x v="13"/>
    <x v="13"/>
    <n v="901907732"/>
    <s v="TECNOTICS SAS"/>
    <n v="-369000"/>
    <n v="0"/>
    <n v="0"/>
    <n v="0"/>
    <n v="0"/>
    <n v="-369000"/>
  </r>
  <r>
    <s v="Factura electrónica"/>
    <s v="28e54fd25f20578ffcc7511334c6913d1c1f3fec8bbb69c456b3e3b7321c127c18c9e650132e755e8327dc1f73b994a0"/>
    <n v="8279"/>
    <d v="2025-06-12T00:00:00"/>
    <x v="13"/>
    <x v="13"/>
    <n v="901907732"/>
    <s v="TECNOTICS SAS"/>
    <n v="369000"/>
    <n v="0"/>
    <n v="0"/>
    <n v="0"/>
    <n v="0"/>
    <n v="369000"/>
  </r>
  <r>
    <s v="Factura electrónica"/>
    <s v="034ee13a105896c7e94cb5a91b886c28b3ccfbd97d6a4b5689e20b18ba34e253c81421a37f41cf4297b2ffad86925a9b"/>
    <n v="547306"/>
    <d v="2025-06-26T00:00:00"/>
    <x v="0"/>
    <x v="0"/>
    <n v="901907732"/>
    <s v="TECNOTICS S.A.S."/>
    <n v="1230029"/>
    <n v="0"/>
    <n v="0"/>
    <n v="0"/>
    <n v="0"/>
    <n v="1230029"/>
  </r>
  <r>
    <s v="Factura electrónica"/>
    <s v="2f9952783d8aa4a758cc89e6437ba7f98ae3d2552059d6bc7073d56ad6d86578bfaafd1ab2eb5ca3620b8e5f66be23e9"/>
    <n v="135186351"/>
    <d v="2025-06-25T00:00:00"/>
    <x v="10"/>
    <x v="10"/>
    <n v="901907732"/>
    <s v="TECNOTICS  SAS"/>
    <n v="78800.320000000007"/>
    <n v="14972.01"/>
    <n v="0"/>
    <n v="1485.67"/>
    <n v="0"/>
    <n v="95258"/>
  </r>
  <r>
    <s v="Factura electrónica"/>
    <s v="6fd155b287ec78e696e1416919cb29216f4f96baf6fa4e49352828bfde7ac03c4a304bc2e811b09bb9959a41affc5d26"/>
    <n v="135036307"/>
    <d v="2025-06-23T00:00:00"/>
    <x v="10"/>
    <x v="10"/>
    <n v="901907732"/>
    <s v="TECNOTICS   SAS"/>
    <n v="74727.299999999988"/>
    <n v="14198.1"/>
    <n v="0"/>
    <n v="1320.6"/>
    <n v="0"/>
    <n v="90246"/>
  </r>
  <r>
    <s v="Factura electrónica"/>
    <s v="0d2115b0eebc652416825397e725a4a0b997ea33d5deec54b359dc42b4cba0ca0d4d20198b60c3259aab7561dff473b4"/>
    <n v="1244"/>
    <d v="2025-06-20T00:00:00"/>
    <x v="23"/>
    <x v="23"/>
    <n v="901907732"/>
    <s v="TECNOTICS SAS"/>
    <n v="100000"/>
    <n v="0"/>
    <n v="0"/>
    <n v="0"/>
    <n v="0"/>
    <n v="100000"/>
  </r>
  <r>
    <s v="Factura electrónica"/>
    <s v="2ea2501b822bd9419cab56a18906ce06510c4dc95a88f8de9c9dc3504bde490435b5a2645846a042897d0a711c9b3cae"/>
    <n v="11853"/>
    <d v="2025-06-20T00:00:00"/>
    <x v="13"/>
    <x v="13"/>
    <n v="901907732"/>
    <s v="TECNOTICS SAS"/>
    <n v="34454"/>
    <n v="6546"/>
    <n v="0"/>
    <n v="0"/>
    <n v="0"/>
    <n v="41000"/>
  </r>
  <r>
    <s v="Factura electrónica"/>
    <s v="28f7fa4ab4a01dd01f86e199f86d1ba230279633a634cdeda75901f963724ca9daa0911ac1d852ed3d4a6ccbb564a1d7"/>
    <n v="11852"/>
    <d v="2025-06-20T00:00:00"/>
    <x v="13"/>
    <x v="13"/>
    <n v="901907732"/>
    <s v="TECNOTICS SAS"/>
    <n v="281513"/>
    <n v="53487"/>
    <n v="0"/>
    <n v="0"/>
    <n v="0"/>
    <n v="335000"/>
  </r>
  <r>
    <s v="Factura electrónica"/>
    <s v="881ad5b2b12a7ff3d5407a90018b908cb2abf113e221f4e03c570ee363880e43c5a0775a18775a81ab4fbfb24fb74b82"/>
    <n v="5103"/>
    <d v="2025-06-19T00:00:00"/>
    <x v="9"/>
    <x v="9"/>
    <n v="901907732"/>
    <s v="TECNO TIC SAS "/>
    <n v="110084.03"/>
    <n v="20915.97"/>
    <n v="0"/>
    <n v="0"/>
    <n v="0"/>
    <n v="131000"/>
  </r>
  <r>
    <s v="Factura electrónica"/>
    <s v="ea984d8d2dfdb51f616c99fbce12f91bf62e27a2115d41aa7a23c1addc8b1c9c66c3ad88719476e11df93a028663183b"/>
    <n v="11812"/>
    <d v="2025-06-19T00:00:00"/>
    <x v="13"/>
    <x v="13"/>
    <n v="901907732"/>
    <s v="TECNOTICS SAS"/>
    <n v="29412"/>
    <n v="5588"/>
    <n v="0"/>
    <n v="0"/>
    <n v="0"/>
    <n v="35000"/>
  </r>
  <r>
    <s v="Factura electrónica"/>
    <s v="bdeed5124f7d43e669e444caef5c8a881de11c2cb667a55ccefbaa87bc84101692195b856cc42fdc5fc4b591a662b7dd"/>
    <n v="545752"/>
    <d v="2025-06-19T00:00:00"/>
    <x v="0"/>
    <x v="0"/>
    <n v="901907732"/>
    <s v="TECNOTICS S.A.S."/>
    <n v="134878"/>
    <n v="0"/>
    <n v="0"/>
    <n v="0"/>
    <n v="0"/>
    <n v="134878"/>
  </r>
  <r>
    <s v="Factura electrónica"/>
    <s v="bc0a83fd0a4b5d09fefde2a889cd0aa9e7b744ec3df94619929437fd775f65af49753c31aa8f4dc877ced605bfc4ba60"/>
    <n v="545399"/>
    <d v="2025-06-17T00:00:00"/>
    <x v="0"/>
    <x v="0"/>
    <n v="901907732"/>
    <s v="TECNOTICS S.A.S."/>
    <n v="244437"/>
    <n v="0"/>
    <n v="0"/>
    <n v="0"/>
    <n v="0"/>
    <n v="244437"/>
  </r>
  <r>
    <s v="Factura electrónica"/>
    <s v="250292861706a9a115c137a15b9453533445e04ff3d60e561f0d4138f0a7af20b57a283540c59ac059ce04eb33beb640"/>
    <n v="545398"/>
    <d v="2025-06-17T00:00:00"/>
    <x v="0"/>
    <x v="0"/>
    <n v="901907732"/>
    <s v="TECNOTICS S.A.S."/>
    <n v="809069"/>
    <n v="0"/>
    <n v="0"/>
    <n v="0"/>
    <n v="0"/>
    <n v="809069"/>
  </r>
  <r>
    <s v="Factura electrónica"/>
    <s v="c2a5178cdd19791a31d9745af6a404258d8c45c8eb6ad9ab7fa986ca54b5d8911fcc01c9cee6d269f86801c28742986f"/>
    <n v="545397"/>
    <d v="2025-06-17T00:00:00"/>
    <x v="0"/>
    <x v="0"/>
    <n v="901907732"/>
    <s v="TECNOTICS S.A.S."/>
    <n v="2518501"/>
    <n v="0"/>
    <n v="0"/>
    <n v="0"/>
    <n v="0"/>
    <n v="2518501"/>
  </r>
  <r>
    <s v="Factura electrónica"/>
    <s v="cd2317f40ad19621605bca74a225f67b2a7e1383bb622046c91df4a82c8dc6f3252f051d2f76c4efac80a6faebfba4cd"/>
    <n v="545396"/>
    <d v="2025-06-17T00:00:00"/>
    <x v="0"/>
    <x v="0"/>
    <n v="901907732"/>
    <s v="TECNOTICS S.A.S."/>
    <n v="766485"/>
    <n v="0"/>
    <n v="0"/>
    <n v="0"/>
    <n v="0"/>
    <n v="766485"/>
  </r>
  <r>
    <s v="Factura electrónica"/>
    <s v="4cd128bbb0e5e25740953a39153e6062431afb3444d7697bc32af3d9c1843b8d2ed49e303b820e1180c639327233fbd2"/>
    <n v="545395"/>
    <d v="2025-06-17T00:00:00"/>
    <x v="0"/>
    <x v="0"/>
    <n v="901907732"/>
    <s v="TECNOTICS S.A.S."/>
    <n v="584558"/>
    <n v="0"/>
    <n v="0"/>
    <n v="0"/>
    <n v="0"/>
    <n v="584558"/>
  </r>
  <r>
    <s v="Factura electrónica"/>
    <s v="55a308c87beb95151154193b13c670651ed65783cc0435ca0951fe56d6e1a847354f7afdefdc2b1a0a93a6cbc30609b3"/>
    <n v="545394"/>
    <d v="2025-06-17T00:00:00"/>
    <x v="0"/>
    <x v="0"/>
    <n v="901907732"/>
    <s v="TECNOTICS S.A.S."/>
    <n v="860597"/>
    <n v="0"/>
    <n v="0"/>
    <n v="0"/>
    <n v="0"/>
    <n v="860597"/>
  </r>
  <r>
    <s v="Factura electrónica"/>
    <s v="30ca20ee5772cabdeccba827ca999b9f00da13039187bbb8e409c1f23c6e6e90bbbb7eb5ece993ed8dfa4ef7bcfae0d2"/>
    <n v="545393"/>
    <d v="2025-06-17T00:00:00"/>
    <x v="0"/>
    <x v="0"/>
    <n v="901907732"/>
    <s v="TECNOTICS S.A.S."/>
    <n v="1723680"/>
    <n v="0"/>
    <n v="0"/>
    <n v="0"/>
    <n v="0"/>
    <n v="1723680"/>
  </r>
  <r>
    <s v="Factura electrónica"/>
    <s v="b63cca583693d5c443885ed63b008e8012a40f8f0e95ffc99621695116a307fd1e242e5ae90b67f5a1a46d381f6c1514"/>
    <n v="545392"/>
    <d v="2025-06-17T00:00:00"/>
    <x v="0"/>
    <x v="0"/>
    <n v="901907732"/>
    <s v="TECNOTICS S.A.S."/>
    <n v="452397"/>
    <n v="0"/>
    <n v="0"/>
    <n v="0"/>
    <n v="0"/>
    <n v="452397"/>
  </r>
  <r>
    <s v="Factura electrónica"/>
    <s v="816db2d9556ea8657d6b3b759636c06100970ef054c88af400353767dffd5d5948a0e514c0c65db306764d47eb79a692"/>
    <n v="545391"/>
    <d v="2025-06-17T00:00:00"/>
    <x v="0"/>
    <x v="0"/>
    <n v="901907732"/>
    <s v="TECNOTICS S.A.S."/>
    <n v="870387"/>
    <n v="0"/>
    <n v="0"/>
    <n v="0"/>
    <n v="0"/>
    <n v="870387"/>
  </r>
  <r>
    <s v="Factura electrónica"/>
    <s v="af26b5ffd88867e2fc02c2f77dc741805e50f8883298fea507c48a645534a0371ce1057e38dffa25b19e2b935d80618e"/>
    <n v="545390"/>
    <d v="2025-06-17T00:00:00"/>
    <x v="0"/>
    <x v="0"/>
    <n v="901907732"/>
    <s v="TECNOTICS S.A.S."/>
    <n v="354566"/>
    <n v="0"/>
    <n v="0"/>
    <n v="0"/>
    <n v="0"/>
    <n v="354566"/>
  </r>
  <r>
    <s v="Factura electrónica"/>
    <s v="17bcb95b014e1709ecd69ca62a5c89c3cbc9c1fdc5c700d27fed4da55dd8770468ddf7c1049f9f6c6211462010a32d89"/>
    <n v="105105"/>
    <d v="2025-06-17T00:00:00"/>
    <x v="60"/>
    <x v="60"/>
    <n v="901907732"/>
    <s v="TECNOTICS SAS"/>
    <n v="24369.75"/>
    <n v="4630.25"/>
    <n v="0"/>
    <n v="0"/>
    <n v="0"/>
    <n v="29000"/>
  </r>
  <r>
    <s v="Factura electrónica"/>
    <s v="a3bc753b394272bd13a9c3c8ab5ba2cba27ec12a135489749c64d849add21d360e4621d0c5d3babbd40862a2992fe983"/>
    <n v="72515"/>
    <d v="2025-06-17T00:00:00"/>
    <x v="7"/>
    <x v="7"/>
    <n v="901907732"/>
    <s v="Tecnotics S.A.S"/>
    <n v="127731.1"/>
    <n v="24268.91"/>
    <n v="0"/>
    <n v="0"/>
    <n v="0"/>
    <n v="152000.01"/>
  </r>
  <r>
    <s v="Factura electrónica"/>
    <s v="3daa3c79367e27f91450a109205b5e495ec6f00cbe17e695d8f7ad2326c6784e513c3029a345fd923b132ab95024f50d"/>
    <n v="45816"/>
    <d v="2025-06-17T00:00:00"/>
    <x v="13"/>
    <x v="13"/>
    <n v="901907732"/>
    <s v="TECNOTICS SAS"/>
    <n v="55462"/>
    <n v="10538"/>
    <n v="0"/>
    <n v="0"/>
    <n v="0"/>
    <n v="66000"/>
  </r>
  <r>
    <s v="Factura electrónica"/>
    <s v="637605cf18760d16c84db445e33d6d1c792fda2375a562cc22164050017ed380468e835bda4827dba65552c1b84ec7c8"/>
    <n v="544553"/>
    <d v="2025-06-16T00:00:00"/>
    <x v="0"/>
    <x v="0"/>
    <n v="901907732"/>
    <s v="TECNOTICS S.A.S."/>
    <n v="1489725"/>
    <n v="0"/>
    <n v="0"/>
    <n v="0"/>
    <n v="0"/>
    <n v="1489725"/>
  </r>
  <r>
    <s v="Factura electrónica"/>
    <s v="d1a877f004be1c79be960d91a2240c418cbfa527d627d29d4d98cd527130d63710157181b8a35a4648fafef5d7ecbd0b"/>
    <n v="1242"/>
    <d v="2025-06-13T00:00:00"/>
    <x v="23"/>
    <x v="23"/>
    <n v="901907732"/>
    <s v="TECNOTICS SAS"/>
    <n v="200000"/>
    <n v="0"/>
    <n v="0"/>
    <n v="0"/>
    <n v="0"/>
    <n v="200000"/>
  </r>
  <r>
    <s v="Factura electrónica"/>
    <s v="3cb59c60dc6213ce16931007417934795c32c25f4e29ea33af54be543aaf9e2e7835709e99110fd44ecceb6419e5ecf0"/>
    <n v="543830"/>
    <d v="2025-06-12T00:00:00"/>
    <x v="0"/>
    <x v="0"/>
    <n v="901907732"/>
    <s v="TECNOTICS S.A.S."/>
    <n v="518725"/>
    <n v="0"/>
    <n v="0"/>
    <n v="0"/>
    <n v="0"/>
    <n v="518725"/>
  </r>
  <r>
    <s v="Factura electrónica"/>
    <s v="5147b5aa92051cf4a60e0b75a81aa3e9b5a5be3f1185579e45344ae6f8dc730d7acefb2d1ca8e1b395184eaffa74250c"/>
    <n v="8302"/>
    <d v="2025-06-12T00:00:00"/>
    <x v="13"/>
    <x v="13"/>
    <n v="901907732"/>
    <s v="TECNOTICS SAS"/>
    <n v="369000"/>
    <n v="0"/>
    <n v="0"/>
    <n v="0"/>
    <n v="0"/>
    <n v="369000"/>
  </r>
  <r>
    <s v="Factura electrónica"/>
    <s v="0f4873c46c178f3146d6b8116a7171d41205a24938245943f5a5ab33cb0ef0c652f93bdfa4713cb8aeb30f7622f16a2c"/>
    <n v="8280"/>
    <d v="2025-06-12T00:00:00"/>
    <x v="13"/>
    <x v="13"/>
    <n v="901907732"/>
    <s v="TECNOTICS SAS"/>
    <n v="29832"/>
    <n v="5668"/>
    <n v="0"/>
    <n v="0"/>
    <n v="0"/>
    <n v="35500"/>
  </r>
  <r>
    <s v="Factura electrónica"/>
    <s v="f2a7d37664d4128d24d6665e9034360c6a7a2dc2637c4e772699722f60bd6432f753c878769d8735610dfd96aab5c1ee"/>
    <n v="72036"/>
    <d v="2025-06-06T00:00:00"/>
    <x v="7"/>
    <x v="7"/>
    <n v="901907732"/>
    <s v="Tecnotics S.A.S"/>
    <n v="89915.97"/>
    <n v="17084.04"/>
    <n v="0"/>
    <n v="0"/>
    <n v="0"/>
    <n v="107000.01"/>
  </r>
  <r>
    <s v="Factura electrónica"/>
    <s v="6fbce5100a2fa0d52783ea848f6dcc7759297ba73e48843fa7a531f0b5c4281216b09ea0a4fbd5a780d32c2ff17816ac"/>
    <n v="8121"/>
    <d v="2025-06-05T00:00:00"/>
    <x v="13"/>
    <x v="13"/>
    <n v="901907732"/>
    <s v="TECNOTICS SAS"/>
    <n v="132353"/>
    <n v="25147"/>
    <n v="0"/>
    <n v="0"/>
    <n v="0"/>
    <n v="157500"/>
  </r>
  <r>
    <s v="Factura electrónica"/>
    <s v="e5671141085485175ed88766e91cce018bb6fe406bf86c3de305f4037cf74a994106f761918deacdc863723dad0cb82d"/>
    <n v="73703"/>
    <d v="2025-06-05T00:00:00"/>
    <x v="43"/>
    <x v="43"/>
    <n v="901907732"/>
    <s v="TECNOTICS SAS"/>
    <n v="9579.77"/>
    <n v="1820.23"/>
    <n v="0"/>
    <n v="0"/>
    <n v="0"/>
    <n v="11400"/>
  </r>
  <r>
    <s v="Factura electrónica"/>
    <s v="1b93e90cf6361498e9dda2344430e64c62b249a5600ebadfc7faab8f0b482a7b6c88d0a8d07f8914b68b0ebdccbefc9e"/>
    <n v="377"/>
    <d v="2025-06-05T00:00:00"/>
    <x v="61"/>
    <x v="61"/>
    <n v="901907732"/>
    <s v="TECNOTICS SAS"/>
    <n v="2882459.58"/>
    <n v="0"/>
    <n v="0"/>
    <n v="0"/>
    <n v="0"/>
    <n v="2882459.58"/>
  </r>
  <r>
    <s v="Factura electrónica"/>
    <s v="7f7b40f7258222db2d9a494f84e38ce8d0f55bf220d33dec064cec4453aef465e1d299a8e96ed833501b61bc4e8bd660"/>
    <n v="6678"/>
    <d v="2025-06-04T00:00:00"/>
    <x v="25"/>
    <x v="25"/>
    <n v="901907732"/>
    <s v="TECNOTICS SAS"/>
    <n v="436800"/>
    <n v="0"/>
    <n v="0"/>
    <n v="0"/>
    <n v="0"/>
    <n v="436800"/>
  </r>
  <r>
    <s v="Factura electrónica"/>
    <s v="693588968a7f937a6f876bfa7054ef2ace35f093f4425f1b92caeabdb758308507d541045ca464ad470714122cf5f675"/>
    <n v="2329"/>
    <d v="2025-06-03T00:00:00"/>
    <x v="5"/>
    <x v="5"/>
    <n v="901907732"/>
    <s v="TECNOTICS SAS"/>
    <n v="1158000"/>
    <n v="0"/>
    <n v="0"/>
    <n v="0"/>
    <n v="0"/>
    <n v="1158000"/>
  </r>
  <r>
    <s v="Factura electrónica"/>
    <s v="cc27f46c285a4dca9f27262d5c7efa0644703fc6281a204e658701f61d88e7bc555bc962e27aefa961eafe30b05d5dff"/>
    <n v="8002"/>
    <d v="2025-05-30T00:00:00"/>
    <x v="13"/>
    <x v="13"/>
    <n v="901907732"/>
    <s v="TECNOTICS SAS"/>
    <n v="975000"/>
    <n v="0"/>
    <n v="0"/>
    <n v="0"/>
    <n v="0"/>
    <n v="975000"/>
  </r>
  <r>
    <s v="Factura electrónica"/>
    <s v="87164a59f10bed3054a52e2db0bcb2e5578a8e19be5b96410ebd27fe3d7739c3ca29250392538d9fd9291514ab9a3202"/>
    <n v="1239"/>
    <d v="2025-05-30T00:00:00"/>
    <x v="23"/>
    <x v="23"/>
    <n v="901907732"/>
    <s v="TECNOTICS SAS"/>
    <n v="300000"/>
    <n v="0"/>
    <n v="0"/>
    <n v="0"/>
    <n v="0"/>
    <n v="300000"/>
  </r>
  <r>
    <s v="Factura electrónica"/>
    <s v="927107e131af5a050bf67c260d993dea50a9487a30b04e1c486f9eadb98e58c6e46f27c7e9884e5d630aafaa2edf97b2"/>
    <n v="353"/>
    <d v="2025-05-29T00:00:00"/>
    <x v="62"/>
    <x v="62"/>
    <n v="901907732"/>
    <s v="TECNOTICS SAS"/>
    <n v="500000"/>
    <n v="0"/>
    <n v="0"/>
    <n v="0"/>
    <n v="0"/>
    <n v="500000"/>
  </r>
  <r>
    <s v="Factura electrónica"/>
    <s v="cba6b7e3031056b62ed3767c5af511f23d504ca24ac6605c3125251bca8455f1295a35647b4b6291f8978df6423c867a"/>
    <n v="43703"/>
    <d v="2025-05-27T00:00:00"/>
    <x v="56"/>
    <x v="56"/>
    <n v="901907732"/>
    <s v="TECNOTICS"/>
    <n v="171213"/>
    <n v="0"/>
    <n v="0"/>
    <n v="12453"/>
    <n v="0"/>
    <n v="183666"/>
  </r>
  <r>
    <s v="Factura electrónica"/>
    <s v="ba80e31fd8846d101a89d6e31ce2c345308f97879feab0cedac608250c95c9ad2459ca942ab32602c52373a0bc58d35f"/>
    <n v="1237"/>
    <d v="2025-05-23T00:00:00"/>
    <x v="23"/>
    <x v="23"/>
    <n v="901907732"/>
    <s v="TECNOTICS SAS"/>
    <n v="300000"/>
    <n v="0"/>
    <n v="0"/>
    <n v="0"/>
    <n v="0"/>
    <n v="300000"/>
  </r>
  <r>
    <s v="Factura electrónica"/>
    <s v="701e7e737b248de95f1fc6230616005b88b4af33a6cd5276ed70cfa2a4f81b89b4e053dc9ad1d9cdeaed89c78ff04b4d"/>
    <n v="130489238"/>
    <d v="2025-05-22T00:00:00"/>
    <x v="10"/>
    <x v="10"/>
    <n v="901907732"/>
    <s v="TECNOTICS  SAS"/>
    <n v="90977.51"/>
    <n v="17285.72"/>
    <n v="0"/>
    <n v="1716.77"/>
    <n v="0"/>
    <n v="109980"/>
  </r>
  <r>
    <s v="Factura electrónica"/>
    <s v="e6ba60f56d13bb03e5ad7d6adff8a28991e0ca16ef62188ee172aec5f73b3ae59c65b16e067431a2b06162bbff4c092d"/>
    <n v="71428"/>
    <d v="2025-05-22T00:00:00"/>
    <x v="7"/>
    <x v="7"/>
    <n v="901907732"/>
    <s v="Tecnotics S.A.S"/>
    <n v="29411.770000000004"/>
    <n v="5588.24"/>
    <n v="0"/>
    <n v="0"/>
    <n v="0"/>
    <n v="35000.01"/>
  </r>
  <r>
    <s v="Factura electrónica"/>
    <s v="0b57eae2218002f3cfd13f7aeea6e79b4a2cd6bafee8ad53d184f4c5c3421519946fb91057d2a5683dd3d9b474da6cd3"/>
    <n v="130331700"/>
    <d v="2025-05-22T00:00:00"/>
    <x v="10"/>
    <x v="10"/>
    <n v="901907732"/>
    <s v="TECNOTICS   SAS"/>
    <n v="80677.58"/>
    <n v="15328.76"/>
    <n v="0"/>
    <n v="1452.66"/>
    <n v="0"/>
    <n v="97459"/>
  </r>
  <r>
    <s v="Factura electrónica"/>
    <s v="576ebfd72a20c66ea73bf48bc783a8bec89405bc40787a325d82c23e863ddc1bf1759c7248655e523c5ad19b98383f6f"/>
    <n v="538665"/>
    <d v="2025-05-21T00:00:00"/>
    <x v="0"/>
    <x v="0"/>
    <n v="901907732"/>
    <s v="TECNOTICS S.A.S."/>
    <n v="1494839"/>
    <n v="0"/>
    <n v="0"/>
    <n v="0"/>
    <n v="0"/>
    <n v="1494839"/>
  </r>
  <r>
    <s v="Factura electrónica"/>
    <s v="ea4af820de2c7e2348086d0d3ea154b765f3b708ea600a5e5a5898fd0dd0311e754720454bda56c984c1a481f2fdf228"/>
    <n v="120219"/>
    <d v="2025-05-19T00:00:00"/>
    <x v="9"/>
    <x v="9"/>
    <n v="901907732"/>
    <s v="TECNO TIC SAS "/>
    <n v="110084.03"/>
    <n v="20915.97"/>
    <n v="0"/>
    <n v="0"/>
    <n v="0"/>
    <n v="131000"/>
  </r>
  <r>
    <s v="Factura electrónica"/>
    <s v="b5fe14fb52509cc858126d158bcf8b0774ee2572bcf801f01c78b51dc90a76269c45a711d0a733c48c6f67c6a8cc29c3"/>
    <n v="203778"/>
    <d v="2025-05-19T00:00:00"/>
    <x v="63"/>
    <x v="63"/>
    <n v="901907732"/>
    <s v="TECNOTICS SAS"/>
    <n v="8403"/>
    <n v="1597"/>
    <n v="0"/>
    <n v="0"/>
    <n v="0"/>
    <n v="10000"/>
  </r>
  <r>
    <s v="Factura electrónica"/>
    <s v="070672de4599f68deb46758f98c9184f06f1aea23cb10dfbaaffeb6e02f1070ccdedc68144433f2cb5c5d46baf0edd68"/>
    <n v="7609"/>
    <d v="2025-05-15T00:00:00"/>
    <x v="13"/>
    <x v="13"/>
    <n v="901907732"/>
    <s v="TECNOTICS SAS"/>
    <n v="1180672"/>
    <n v="224328"/>
    <n v="0"/>
    <n v="0"/>
    <n v="0"/>
    <n v="1405000"/>
  </r>
  <r>
    <s v="Factura electrónica"/>
    <s v="c963c8ab63df8a9e7de965ef1a4eda430a3f12548ee8c68a5ba2654d312bacdc814bb7824d0885578cf30d199f51dcda"/>
    <n v="158205"/>
    <d v="2025-05-15T00:00:00"/>
    <x v="27"/>
    <x v="27"/>
    <n v="901907732"/>
    <s v="TECNOTICS SAS"/>
    <n v="181174.81"/>
    <n v="34423.199999999997"/>
    <n v="0"/>
    <n v="0"/>
    <n v="0"/>
    <n v="215598.01"/>
  </r>
  <r>
    <s v="Nota de crédito electrónica"/>
    <s v="b513d36b1cc20e8935b5f251296467e0c8ae727ca86abf9f8d09666ad2dfe9912cb0ace3a5affcf88251d5c478264d75"/>
    <s v="NC2321"/>
    <d v="2025-05-14T00:00:00"/>
    <x v="25"/>
    <x v="25"/>
    <n v="901907732"/>
    <s v="TECNOTICS SAS"/>
    <n v="-315000"/>
    <n v="0"/>
    <n v="0"/>
    <n v="0"/>
    <n v="0"/>
    <n v="-315000"/>
  </r>
  <r>
    <s v="Factura electrónica"/>
    <s v="cd0c1a72e58594028b217d395e78defe5e45f7b33bef7f7fbdfc49c060a3066f201f858e15ceed405a5c5d848b8ddbe5"/>
    <n v="6517"/>
    <d v="2025-05-14T00:00:00"/>
    <x v="25"/>
    <x v="25"/>
    <n v="901907732"/>
    <s v="TECNOTICS SAS"/>
    <n v="478830"/>
    <n v="0"/>
    <n v="0"/>
    <n v="0"/>
    <n v="0"/>
    <n v="478830"/>
  </r>
  <r>
    <s v="Factura electrónica"/>
    <s v="be8a83e3c744b8bb575edf247e4c2cbadffa165874e5b0945c28e045808f4686b5d99e613b9db0c729d388718f8c69b4"/>
    <n v="6518"/>
    <d v="2025-05-14T00:00:00"/>
    <x v="25"/>
    <x v="25"/>
    <n v="901907732"/>
    <s v="TECNOTICS SAS"/>
    <n v="481140"/>
    <n v="0"/>
    <n v="0"/>
    <n v="0"/>
    <n v="0"/>
    <n v="481140"/>
  </r>
  <r>
    <s v="Factura electrónica"/>
    <s v="2024c4107d4c11aac12e12647dce8643e2d9cf413b26b521d256642b940fd62dd75c07552447d5fefb6a6fb0d3a2aaf3"/>
    <n v="536671"/>
    <d v="2025-05-13T00:00:00"/>
    <x v="0"/>
    <x v="0"/>
    <n v="901907732"/>
    <s v="TECNOTICS S.A.S."/>
    <n v="2062348"/>
    <n v="0"/>
    <n v="0"/>
    <n v="0"/>
    <n v="0"/>
    <n v="2062348"/>
  </r>
  <r>
    <s v="Factura electrónica"/>
    <s v="92785a4810e12d66668d4cbb4f9746bdb62b7d558004e1034203af1ef72e448939d141c82afb3f44404568c1bb823f29"/>
    <n v="3331860"/>
    <d v="2025-05-13T00:00:00"/>
    <x v="46"/>
    <x v="46"/>
    <n v="901907732"/>
    <s v="TECNOTICS SAS"/>
    <n v="11600"/>
    <n v="0"/>
    <n v="0"/>
    <n v="0"/>
    <n v="0"/>
    <n v="11600"/>
  </r>
  <r>
    <s v="Factura electrónica"/>
    <s v="4eee1a9a29e6accddbd1e7a6cfb7e5bdb224371283e36b6e58a04d395fbc4818df3e698ea368f40cf50b3803fd2c33f9"/>
    <n v="536411"/>
    <d v="2025-05-12T00:00:00"/>
    <x v="0"/>
    <x v="0"/>
    <n v="901907732"/>
    <s v="TECNOTICS S.A.S."/>
    <n v="2289008"/>
    <n v="0"/>
    <n v="0"/>
    <n v="0"/>
    <n v="0"/>
    <n v="2289008"/>
  </r>
  <r>
    <s v="Factura electrónica"/>
    <s v="e856d5bb12cdfec6ff683a9b272d41d5499e1bcfd68a02fae731f5103d40bb48a673779839894df13c6cfb0ad654bc20"/>
    <n v="9621"/>
    <d v="2025-05-12T00:00:00"/>
    <x v="34"/>
    <x v="34"/>
    <n v="901907732"/>
    <s v="TECNOTICS SAS"/>
    <n v="1200000"/>
    <n v="228000"/>
    <n v="0"/>
    <n v="0"/>
    <n v="0"/>
    <n v="1428000"/>
  </r>
  <r>
    <s v="Factura electrónica"/>
    <s v="92b0a4fd07545255f7c00ba2d3c3f2879b902c739fb4ae10a4bc7fd645b7cb21030849534b927b93c62b6e453e090812"/>
    <n v="536354"/>
    <d v="2025-05-12T00:00:00"/>
    <x v="0"/>
    <x v="0"/>
    <n v="901907732"/>
    <s v="TECNOTICS S.A.S."/>
    <n v="507786"/>
    <n v="0"/>
    <n v="0"/>
    <n v="0"/>
    <n v="0"/>
    <n v="507786"/>
  </r>
  <r>
    <s v="Factura electrónica"/>
    <s v="354a6901561a6761427c1167faa1a0b7fcc5effb8498b969f58ace9b9ad064f52680628c3c81aa8be8fe1f1a4ff751f5"/>
    <n v="536203"/>
    <d v="2025-05-12T00:00:00"/>
    <x v="0"/>
    <x v="0"/>
    <n v="901907732"/>
    <s v="TECNOTICS S.A.S."/>
    <n v="837270"/>
    <n v="0"/>
    <n v="0"/>
    <n v="0"/>
    <n v="0"/>
    <n v="837270"/>
  </r>
  <r>
    <s v="Factura electrónica"/>
    <s v="eef653d413ea75f10509cb6b045718ec34753a0d11bd26b3ce93eccf647775dc4e73bfb5a751773159ab073b02aface2"/>
    <n v="536202"/>
    <d v="2025-05-12T00:00:00"/>
    <x v="0"/>
    <x v="0"/>
    <n v="901907732"/>
    <s v="TECNOTICS S.A.S."/>
    <n v="793203"/>
    <n v="0"/>
    <n v="0"/>
    <n v="0"/>
    <n v="0"/>
    <n v="793203"/>
  </r>
  <r>
    <s v="Factura electrónica"/>
    <s v="ad2e94c3203f4e4b1b9bfcd4b431c80afba3455526e3f65aa5d7cc29c89215a69b1880a04d0976099b40195d7f642a83"/>
    <n v="536201"/>
    <d v="2025-05-12T00:00:00"/>
    <x v="0"/>
    <x v="0"/>
    <n v="901907732"/>
    <s v="TECNOTICS S.A.S."/>
    <n v="468166"/>
    <n v="0"/>
    <n v="0"/>
    <n v="0"/>
    <n v="0"/>
    <n v="468166"/>
  </r>
  <r>
    <s v="Factura electrónica"/>
    <s v="cf7fd9dda7cc732ce620256900ef9ae01f38171ac6835d988b9a9492300b222945f2acb62cf979c919cc9fbcdc565add"/>
    <n v="536200"/>
    <d v="2025-05-12T00:00:00"/>
    <x v="0"/>
    <x v="0"/>
    <n v="901907732"/>
    <s v="TECNOTICS S.A.S."/>
    <n v="327152"/>
    <n v="0"/>
    <n v="0"/>
    <n v="0"/>
    <n v="0"/>
    <n v="327152"/>
  </r>
  <r>
    <s v="Factura electrónica"/>
    <s v="d886ddc8c3bbd4cd6258ee1557d25a7180d5b11a5fb2eb8f1de0780202574974d9f24425a93e62bcdf29e7e48a489a12"/>
    <n v="536199"/>
    <d v="2025-05-12T00:00:00"/>
    <x v="0"/>
    <x v="0"/>
    <n v="901907732"/>
    <s v="TECNOTICS S.A.S."/>
    <n v="890595"/>
    <n v="0"/>
    <n v="0"/>
    <n v="0"/>
    <n v="0"/>
    <n v="890595"/>
  </r>
  <r>
    <s v="Factura electrónica"/>
    <s v="131c33bfd0001f760a339b7c4c4df0ff71176f254c1df71ad0fac6b72e9bcd7987b49802c9d97c9de79314ad959b2137"/>
    <n v="536197"/>
    <d v="2025-05-12T00:00:00"/>
    <x v="0"/>
    <x v="0"/>
    <n v="901907732"/>
    <s v="TECNOTICS S.A.S."/>
    <n v="366926"/>
    <n v="0"/>
    <n v="0"/>
    <n v="0"/>
    <n v="0"/>
    <n v="366926"/>
  </r>
  <r>
    <s v="Factura electrónica"/>
    <s v="2a58c8084cb0289f7e3187503ad41a5e5f91e910aa286c607932ee2578aa6879423a3c4b989220600eaefe05468a4216"/>
    <n v="536195"/>
    <d v="2025-05-12T00:00:00"/>
    <x v="0"/>
    <x v="0"/>
    <n v="901907732"/>
    <s v="TECNOTICS S.A.S."/>
    <n v="252958"/>
    <n v="0"/>
    <n v="0"/>
    <n v="0"/>
    <n v="0"/>
    <n v="252958"/>
  </r>
  <r>
    <s v="Factura electrónica"/>
    <s v="3b1c42b1b3057dd7d2f38f64e7fb3aa516c714f68635eb8f1ce5dbd7f9eddcef226b8f0d8585f1ca62f71a4fbb916bcb"/>
    <n v="536194"/>
    <d v="2025-05-12T00:00:00"/>
    <x v="0"/>
    <x v="0"/>
    <n v="901907732"/>
    <s v="TECNOTICS S.A.S."/>
    <n v="604934"/>
    <n v="0"/>
    <n v="0"/>
    <n v="0"/>
    <n v="0"/>
    <n v="604934"/>
  </r>
  <r>
    <s v="Factura electrónica"/>
    <s v="7aaaf5bab97f961ec31dee262259e6a5526b4f69fc11dd0d1469eaf0ccc9c48b271ea2918024542546541ebd148fca26"/>
    <n v="536193"/>
    <d v="2025-05-12T00:00:00"/>
    <x v="0"/>
    <x v="0"/>
    <n v="901907732"/>
    <s v="TECNOTICS S.A.S."/>
    <n v="900727"/>
    <n v="0"/>
    <n v="0"/>
    <n v="0"/>
    <n v="0"/>
    <n v="900727"/>
  </r>
  <r>
    <s v="Factura electrónica"/>
    <s v="1ee24a52ff33a53625ca2721153fa41492eeb669b52cc057126f1acda70f2e1626434de255525958e692d4ef9a8ce4a7"/>
    <n v="536191"/>
    <d v="2025-05-12T00:00:00"/>
    <x v="0"/>
    <x v="0"/>
    <n v="901907732"/>
    <s v="TECNOTICS S.A.S."/>
    <n v="141014"/>
    <n v="0"/>
    <n v="0"/>
    <n v="0"/>
    <n v="0"/>
    <n v="141014"/>
  </r>
  <r>
    <s v="Factura electrónica"/>
    <s v="d8f81038123183faf703c7721f305429cdfe5cf589de644b65d7efe8bd8d22dae5fca6060ea96ce30c5a49d3412c12a4"/>
    <n v="536190"/>
    <d v="2025-05-12T00:00:00"/>
    <x v="0"/>
    <x v="0"/>
    <n v="901907732"/>
    <s v="TECNOTICS S.A.S."/>
    <n v="1710056"/>
    <n v="0"/>
    <n v="0"/>
    <n v="0"/>
    <n v="0"/>
    <n v="1710056"/>
  </r>
  <r>
    <s v="Documento equivalente POS"/>
    <s v="b78786c56df620b880ec2d11ec080720128095b2eb7ab1a74e8f200793c3f8ffca7db92221c35c2fd135366363740e09"/>
    <n v="51208"/>
    <d v="2025-05-10T00:00:00"/>
    <x v="64"/>
    <x v="64"/>
    <n v="901907732"/>
    <s v="TECNOTICS SAS"/>
    <n v="46050.400000000001"/>
    <n v="8749.58"/>
    <n v="0"/>
    <n v="0"/>
    <n v="0"/>
    <n v="54799.98"/>
  </r>
  <r>
    <s v="Factura electrónica"/>
    <s v="7b7d55e7b5b19d02ad4a3a1820adc96aafe0d4ec68080a5e92d1a6e5d9ca59364fc1b7d4b3c2b2b900cd0fc0f3dd6e3d"/>
    <n v="1232"/>
    <d v="2025-05-09T00:00:00"/>
    <x v="23"/>
    <x v="23"/>
    <n v="901907732"/>
    <s v="TECNOTICS SAS"/>
    <n v="300000"/>
    <n v="0"/>
    <n v="0"/>
    <n v="0"/>
    <n v="0"/>
    <n v="300000"/>
  </r>
  <r>
    <s v="Factura electrónica"/>
    <s v="667cfdab46a698bc39eb5f1c3b9c1c80a99576a9fd7aec9a04140050259c38513c9775960eb1138736fa14f3cec99e9e"/>
    <n v="24084"/>
    <d v="2025-05-08T00:00:00"/>
    <x v="64"/>
    <x v="64"/>
    <n v="901907732"/>
    <s v="TECNOTICS SAS"/>
    <n v="117647"/>
    <n v="22352.93"/>
    <n v="0"/>
    <n v="0"/>
    <n v="0"/>
    <n v="139999.93"/>
  </r>
  <r>
    <s v="Factura electrónica"/>
    <s v="312b8f5993236fcf2da1e884d3188967f192ae6aa99957c9a0d14e0b1d75a63d2f589a25a7462c2c08379f78a1f94f7e"/>
    <n v="7405"/>
    <d v="2025-05-07T00:00:00"/>
    <x v="13"/>
    <x v="13"/>
    <n v="901907732"/>
    <s v="TECNOTICS SAS"/>
    <n v="1700000"/>
    <n v="0"/>
    <n v="0"/>
    <n v="0"/>
    <n v="0"/>
    <n v="1700000"/>
  </r>
  <r>
    <s v="Factura electrónica"/>
    <s v="d81cd4f8c694dcf2e00f60074f379bf190f816f71b9c934cafc8fd4bb6dc51b4975486a1f27644d9e505cccdf9364234"/>
    <n v="2014"/>
    <d v="2025-05-02T00:00:00"/>
    <x v="5"/>
    <x v="5"/>
    <n v="901907732"/>
    <s v="TECNOTICS SAS"/>
    <n v="993500"/>
    <n v="0"/>
    <n v="0"/>
    <n v="0"/>
    <n v="0"/>
    <n v="993500"/>
  </r>
  <r>
    <s v="Factura electrónica"/>
    <s v="a54bf6d28ae2ba4600283a763f6512446192adf84d17b165f0f563bf725cd996f6abec1fe128eeb592f50142b9da1260"/>
    <n v="1230"/>
    <d v="2025-05-02T00:00:00"/>
    <x v="23"/>
    <x v="23"/>
    <n v="901907732"/>
    <s v="TECNOTICS SAS"/>
    <n v="200000"/>
    <n v="0"/>
    <n v="0"/>
    <n v="0"/>
    <n v="0"/>
    <n v="200000"/>
  </r>
  <r>
    <s v="Factura electrónica"/>
    <s v="1ffc4c1156549e0bcfc8873a373add1907fb5013c3e59ddc761bc843dbb6f6977010a38814bb10858eec96035765ceab"/>
    <n v="7234"/>
    <d v="2025-04-30T00:00:00"/>
    <x v="13"/>
    <x v="13"/>
    <n v="901907732"/>
    <s v="TECNOTICS SAS"/>
    <n v="390000"/>
    <n v="0"/>
    <n v="0"/>
    <n v="0"/>
    <n v="0"/>
    <n v="390000"/>
  </r>
  <r>
    <s v="Factura electrónica"/>
    <s v="517da8c158fc5ffb479268de3da34cdfa923782943170f793417367c62b607f4e291564aaa4a59b23e049d8bd3663baa"/>
    <n v="167312"/>
    <d v="2025-04-29T00:00:00"/>
    <x v="15"/>
    <x v="15"/>
    <n v="901907732"/>
    <s v="TECNOTICS SAS"/>
    <n v="388913.44"/>
    <n v="73894"/>
    <n v="0"/>
    <n v="0"/>
    <n v="0"/>
    <n v="462807.44"/>
  </r>
  <r>
    <s v="Factura electrónica"/>
    <s v="441bc2da4afeb6186692901281a11cac0857bf6ed9df056f373d80dab9c16ffc3a76f6eb01d554ddb76c7f3593f8e439"/>
    <n v="70465"/>
    <d v="2025-04-29T00:00:00"/>
    <x v="7"/>
    <x v="7"/>
    <n v="901907732"/>
    <s v="Tecnotics S.A.S"/>
    <n v="42016.81"/>
    <n v="7983.19"/>
    <n v="0"/>
    <n v="0"/>
    <n v="0"/>
    <n v="50000"/>
  </r>
  <r>
    <s v="Factura electrónica"/>
    <s v="586ebe15cce6f3e03f813b46a67b58174c3226af829f3fb180a4820313e1e5eace0f5e10350a76312c4daeda8b9d3f06"/>
    <n v="167111"/>
    <d v="2025-04-28T00:00:00"/>
    <x v="15"/>
    <x v="15"/>
    <n v="901907732"/>
    <s v="TECNOTICS SAS"/>
    <n v="2091362.1400000001"/>
    <n v="397359"/>
    <n v="0"/>
    <n v="0"/>
    <n v="0"/>
    <n v="2488721.14"/>
  </r>
  <r>
    <s v="Factura electrónica"/>
    <s v="7340c8bbdc5a84893449fd7831cc97529915f4dae8b2a0fad6a4db5b958b40f384633dcea83a4e059720bed98af7a2e7"/>
    <n v="532747"/>
    <d v="2025-04-28T00:00:00"/>
    <x v="0"/>
    <x v="0"/>
    <n v="901907732"/>
    <s v="TECNOTICS S.A.S."/>
    <n v="1068363"/>
    <n v="0"/>
    <n v="0"/>
    <n v="0"/>
    <n v="0"/>
    <n v="1068363"/>
  </r>
  <r>
    <s v="Factura electrónica"/>
    <s v="cf50bbb368ccc7afafa426ba04e2c426e0b8f52aa1fd11df5d66bfa0bb7d12bc2d130fd5470a485e5c23dddb78fb3387"/>
    <n v="42511"/>
    <d v="2025-04-26T00:00:00"/>
    <x v="49"/>
    <x v="49"/>
    <n v="901907732"/>
    <s v="TECNOTICS SAS"/>
    <n v="55462.96"/>
    <n v="0"/>
    <n v="0"/>
    <n v="4437.04"/>
    <n v="0"/>
    <n v="59900"/>
  </r>
  <r>
    <s v="Factura electrónica"/>
    <s v="b031aa4ac50b6b9ec5cb96e2686542485eba306f4b8b9bbaf4a6ffc8e7e9463524a75b95f2abdae3d0ec1ca7eaa17ef8"/>
    <n v="1229"/>
    <d v="2025-04-26T00:00:00"/>
    <x v="23"/>
    <x v="23"/>
    <n v="901907732"/>
    <s v="TECNOTICS SAS"/>
    <n v="100000"/>
    <n v="0"/>
    <n v="0"/>
    <n v="0"/>
    <n v="0"/>
    <n v="100000"/>
  </r>
  <r>
    <s v="Factura electrónica"/>
    <s v="e50f8850278ccf8e8b762369af5315810dd846ce3d6bd622ff480fa7002090dc70842ed750ed7f65b2e8d6988d04eedf"/>
    <n v="1228"/>
    <d v="2025-04-26T00:00:00"/>
    <x v="23"/>
    <x v="23"/>
    <n v="901907732"/>
    <s v="TECNOTICS SAS"/>
    <n v="200000"/>
    <n v="0"/>
    <n v="0"/>
    <n v="0"/>
    <n v="0"/>
    <n v="200000"/>
  </r>
  <r>
    <s v="Factura electrónica"/>
    <s v="0c5c15a04e950b4b8f62c45d904deb70a9898ae218c801d3cf50e9c2f680687331714bfba672af647eac5f875bf10d79"/>
    <n v="7116"/>
    <d v="2025-04-25T00:00:00"/>
    <x v="13"/>
    <x v="13"/>
    <n v="901907732"/>
    <s v="TECNOTICS SAS"/>
    <n v="3288328"/>
    <n v="554672"/>
    <n v="0"/>
    <n v="0"/>
    <n v="0"/>
    <n v="3843000"/>
  </r>
  <r>
    <s v="Factura electrónica"/>
    <s v="de6700317b9417a8d9605d29683056bc80f267c288e5287570abb41a57d2df3dcb6f068cc54734cf0d69a0e510ac6965"/>
    <n v="531264"/>
    <d v="2025-04-21T00:00:00"/>
    <x v="0"/>
    <x v="0"/>
    <n v="901907732"/>
    <s v="TECNOTICS S.A.S."/>
    <n v="1437415"/>
    <n v="0"/>
    <n v="0"/>
    <n v="0"/>
    <n v="0"/>
    <n v="1437415"/>
  </r>
  <r>
    <s v="Factura electrónica"/>
    <s v="dd4d0606ba67a7f537b33312427dc7a5a0638a16d52fbb0df298b73c6f05448a782d19731d65249804a5aa386b497cb6"/>
    <n v="154665"/>
    <d v="2025-04-21T00:00:00"/>
    <x v="65"/>
    <x v="65"/>
    <n v="901907732"/>
    <s v="TECNOTICS SAS"/>
    <n v="321600"/>
    <n v="0"/>
    <n v="0"/>
    <n v="0"/>
    <n v="0"/>
    <n v="321600"/>
  </r>
  <r>
    <s v="Factura electrónica"/>
    <s v="ea06e196f853d622df7b912938e1371d826d971880e1f8dfed02c699709aebaf406fd58ea7db1f7298f89e7658e93130"/>
    <n v="107918"/>
    <d v="2025-04-15T00:00:00"/>
    <x v="9"/>
    <x v="9"/>
    <n v="901907732"/>
    <s v="TECNO TIC SAS  "/>
    <n v="110084.03"/>
    <n v="20915.97"/>
    <n v="0"/>
    <n v="0"/>
    <n v="0"/>
    <n v="131000"/>
  </r>
  <r>
    <s v="Factura electrónica"/>
    <s v="c5ae896b9c2c7a15bc6a77989e22d2852affea58ec132d8100d9059c82062d15abac5607c15d43eb800b22b727a58cd8"/>
    <n v="530659"/>
    <d v="2025-04-15T00:00:00"/>
    <x v="0"/>
    <x v="0"/>
    <n v="901907732"/>
    <s v="TECNOTICS S.A.S."/>
    <n v="19733503"/>
    <n v="0"/>
    <n v="0"/>
    <n v="0"/>
    <n v="0"/>
    <n v="19733503"/>
  </r>
  <r>
    <s v="Factura electrónica"/>
    <s v="28bb10d9672762b7b0e35a65d237e3d7454c48f274523665be6ebec5db76c476f145f1af28af90ffa1ac298dba302b54"/>
    <n v="530432"/>
    <d v="2025-04-14T00:00:00"/>
    <x v="0"/>
    <x v="0"/>
    <n v="901907732"/>
    <s v="TECNOTICS S.A.S."/>
    <n v="911420"/>
    <n v="0"/>
    <n v="0"/>
    <n v="0"/>
    <n v="0"/>
    <n v="911420"/>
  </r>
  <r>
    <s v="Factura electrónica"/>
    <s v="3fbf721fc9c824faa40ac17bc9faa318320b71b6b14b8771315da6f192d1c50e504629924246604ed6a5b625e4226040"/>
    <n v="27799"/>
    <d v="2025-04-12T00:00:00"/>
    <x v="49"/>
    <x v="49"/>
    <n v="901907732"/>
    <s v="TECNOTICS SAS ."/>
    <n v="52222.22"/>
    <n v="0"/>
    <n v="0"/>
    <n v="4177.78"/>
    <n v="0"/>
    <n v="56400"/>
  </r>
  <r>
    <s v="Factura electrónica"/>
    <s v="a461b784fbb17da72fe50c57e9172ae52fbd4f608699a82d0d2b3d4a1a40a931705ce94106d96a21066fdc42c870c079"/>
    <n v="38649"/>
    <d v="2025-04-12T00:00:00"/>
    <x v="13"/>
    <x v="13"/>
    <n v="901907732"/>
    <s v="TECNOTICS SAS"/>
    <n v="1739412"/>
    <n v="330488"/>
    <n v="0"/>
    <n v="0"/>
    <n v="0"/>
    <n v="2069900"/>
  </r>
  <r>
    <s v="Factura electrónica"/>
    <s v="599f02864341550e61106578d351a0fc226185d1af465ca00a3e1f1536bb886f18b531ba38d8741b8957fa49b76036bf"/>
    <n v="1226"/>
    <d v="2025-04-11T00:00:00"/>
    <x v="23"/>
    <x v="23"/>
    <n v="901907732"/>
    <s v="TECNOTICS SAS"/>
    <n v="300000"/>
    <n v="0"/>
    <n v="0"/>
    <n v="0"/>
    <n v="0"/>
    <n v="300000"/>
  </r>
  <r>
    <s v="Factura electrónica"/>
    <s v="31f428166b7794797c8ed2ba4cb10f0a5f87ad35ba32a910e5f67018cbd5759b784f2a9cdd6dd4b2b16a71c5c703e70d"/>
    <n v="325"/>
    <d v="2025-04-10T00:00:00"/>
    <x v="62"/>
    <x v="62"/>
    <n v="901907732"/>
    <s v="TECNOTICS SAS"/>
    <n v="1000000"/>
    <n v="0"/>
    <n v="0"/>
    <n v="0"/>
    <n v="0"/>
    <n v="1000000"/>
  </r>
  <r>
    <s v="Factura electrónica"/>
    <s v="7a913effdb81f71cffbcb1c6011e60b276b657992e716a0fd673ac3ae87e2fad08cddaed3a8dcf6ff9286ab665df71e5"/>
    <n v="529852"/>
    <d v="2025-04-10T00:00:00"/>
    <x v="0"/>
    <x v="0"/>
    <n v="901907732"/>
    <s v="TECNOTICS S.A.S."/>
    <n v="630257"/>
    <n v="0"/>
    <n v="0"/>
    <n v="0"/>
    <n v="0"/>
    <n v="630257"/>
  </r>
  <r>
    <s v="Factura electrónica"/>
    <s v="29da315909e5b3c7e0f66f604a4cf7cc4f26371c6231dff3701fd3ad176687143b8ba2e2aec29ec7f58faffc36d57bc8"/>
    <n v="529845"/>
    <d v="2025-04-10T00:00:00"/>
    <x v="0"/>
    <x v="0"/>
    <n v="901907732"/>
    <s v="TECNOTICS S.A.S."/>
    <n v="2367199"/>
    <n v="0"/>
    <n v="0"/>
    <n v="0"/>
    <n v="0"/>
    <n v="2367199"/>
  </r>
  <r>
    <s v="Factura electrónica"/>
    <s v="978e4ea9b7c68811b367ceef040b209789eaf82a2822dff603afd6d53b86e86c0571b5235ef2fdad26f1155dd00834ba"/>
    <n v="529833"/>
    <d v="2025-04-10T00:00:00"/>
    <x v="0"/>
    <x v="0"/>
    <n v="901907732"/>
    <s v="TECNOTICS S.A.S."/>
    <n v="890363"/>
    <n v="0"/>
    <n v="0"/>
    <n v="0"/>
    <n v="0"/>
    <n v="890363"/>
  </r>
  <r>
    <s v="Factura electrónica"/>
    <s v="5118cafc2e860deffefc03cffb79f81da83948e1cb5263f59ee2cc7a13a5672b09f5c1c263090203525ae0e3fa66eb4d"/>
    <n v="529830"/>
    <d v="2025-04-10T00:00:00"/>
    <x v="0"/>
    <x v="0"/>
    <n v="901907732"/>
    <s v="TECNOTICS S.A.S."/>
    <n v="826407"/>
    <n v="0"/>
    <n v="0"/>
    <n v="0"/>
    <n v="0"/>
    <n v="826407"/>
  </r>
  <r>
    <s v="Factura electrónica"/>
    <s v="18c9f0cae3bd23db8ce67a9e500e87082162ab749a89f93bccc7eb44724e70a2c7b9bf5f9139c5bf5897769f29f2a52e"/>
    <n v="529826"/>
    <d v="2025-04-10T00:00:00"/>
    <x v="0"/>
    <x v="0"/>
    <n v="901907732"/>
    <s v="TECNOTICS S.A.S."/>
    <n v="340847"/>
    <n v="0"/>
    <n v="0"/>
    <n v="0"/>
    <n v="0"/>
    <n v="340847"/>
  </r>
  <r>
    <s v="Factura electrónica"/>
    <s v="622c784bd26162e377e6f709fe68a4ea752ebaeb39e5a2d6a3973f0f1d98ef9514f7d357dc54f184612f737d98609edf"/>
    <n v="529824"/>
    <d v="2025-04-10T00:00:00"/>
    <x v="0"/>
    <x v="0"/>
    <n v="901907732"/>
    <s v="TECNOTICS S.A.S."/>
    <n v="149534"/>
    <n v="0"/>
    <n v="0"/>
    <n v="0"/>
    <n v="0"/>
    <n v="149534"/>
  </r>
  <r>
    <s v="Factura electrónica"/>
    <s v="a8b16cb76b4868c0500304f01dd081c860571aa47e2f97c1a1d148cab1efe1af5fbfbe91eaf43d5beb1241ef3da00b1e"/>
    <n v="529820"/>
    <d v="2025-04-10T00:00:00"/>
    <x v="0"/>
    <x v="0"/>
    <n v="901907732"/>
    <s v="TECNOTICS S.A.S."/>
    <n v="1647998"/>
    <n v="0"/>
    <n v="0"/>
    <n v="0"/>
    <n v="0"/>
    <n v="1647998"/>
  </r>
  <r>
    <s v="Factura electrónica"/>
    <s v="020e8494c82c37256a3d9fa7ac420bce38e065f8567805032a3d8afefd0eef7c5b677ec7423d862f040d4499bd4fa10d"/>
    <n v="529798"/>
    <d v="2025-04-10T00:00:00"/>
    <x v="0"/>
    <x v="0"/>
    <n v="901907732"/>
    <s v="TECNOTICS S.A.S."/>
    <n v="493805"/>
    <n v="0"/>
    <n v="0"/>
    <n v="0"/>
    <n v="0"/>
    <n v="493805"/>
  </r>
  <r>
    <s v="Factura electrónica"/>
    <s v="ea486fa4c440f9edc9b70d50e5cd3f8d924ad1b132c4f09c03c0c2e346345c0f226948d098f27715cfd2ebb53b8c972e"/>
    <n v="529787"/>
    <d v="2025-04-10T00:00:00"/>
    <x v="0"/>
    <x v="0"/>
    <n v="901907732"/>
    <s v="TECNOTICS S.A.S."/>
    <n v="487764"/>
    <n v="0"/>
    <n v="0"/>
    <n v="0"/>
    <n v="0"/>
    <n v="487764"/>
  </r>
  <r>
    <s v="Factura electrónica"/>
    <s v="d2cdfc77aa52041f31d04c3acbcda039e40d2bca0d3cce6b0a2880a461561d803c25f203baba8e53daf08460b81b9ff1"/>
    <n v="529786"/>
    <d v="2025-04-10T00:00:00"/>
    <x v="0"/>
    <x v="0"/>
    <n v="901907732"/>
    <s v="TECNOTICS S.A.S."/>
    <n v="938433"/>
    <n v="0"/>
    <n v="0"/>
    <n v="0"/>
    <n v="0"/>
    <n v="938433"/>
  </r>
  <r>
    <s v="Factura electrónica"/>
    <s v="067a69176cdcbc4d2405d048c0f8efdd7b2b69f29b6d7370f9b8282cb9396410f9d6fedbd97be6d3220d53288351d170"/>
    <n v="529780"/>
    <d v="2025-04-10T00:00:00"/>
    <x v="0"/>
    <x v="0"/>
    <n v="901907732"/>
    <s v="TECNOTICS S.A.S."/>
    <n v="382285"/>
    <n v="0"/>
    <n v="0"/>
    <n v="0"/>
    <n v="0"/>
    <n v="382285"/>
  </r>
  <r>
    <s v="Factura electrónica"/>
    <s v="a581bf1808881ada082e0e3b46f97567e69ba816a4227bec83f3b9ebccf849ff5ab92284b17a7f798713fa77e9d1c99a"/>
    <n v="529744"/>
    <d v="2025-04-10T00:00:00"/>
    <x v="0"/>
    <x v="0"/>
    <n v="901907732"/>
    <s v="TECNOTICS S.A.S."/>
    <n v="263547"/>
    <n v="0"/>
    <n v="0"/>
    <n v="0"/>
    <n v="0"/>
    <n v="263547"/>
  </r>
  <r>
    <s v="Factura electrónica"/>
    <s v="e699aa509d66f95849b66b3458a77103475c3f2ae23d865764b7deb12f160bedb3fbdebf2edf0e142c7dd0db976740b2"/>
    <n v="10760"/>
    <d v="2025-04-10T00:00:00"/>
    <x v="66"/>
    <x v="66"/>
    <n v="901907732"/>
    <s v="TECNOTICS SAS  TECNOTICS SAS"/>
    <n v="185881.47"/>
    <n v="0"/>
    <n v="0"/>
    <n v="13518.51"/>
    <n v="0"/>
    <n v="199399.98"/>
  </r>
  <r>
    <s v="Factura electrónica"/>
    <s v="231987bf9ee03b36b558b221ab02cc4fac93bf5c78caf3405d691094314742295a9e0e82a2db40cac2f96f2fda3d8396"/>
    <n v="41852"/>
    <d v="2025-04-09T00:00:00"/>
    <x v="58"/>
    <x v="58"/>
    <n v="901907732"/>
    <s v="TECNOTICS SAS  "/>
    <n v="582855.7300000001"/>
    <n v="14928.57"/>
    <n v="0"/>
    <n v="36103.699999999997"/>
    <n v="0"/>
    <n v="633888"/>
  </r>
  <r>
    <s v="Factura electrónica"/>
    <s v="e66dd8ddc0b0120228fa8eb4697a7b8c7ed874c667e9f9912d32b0c6f8f944636a4e10560c574dbf615b54489cc5b3f1"/>
    <n v="41821"/>
    <d v="2025-04-09T00:00:00"/>
    <x v="58"/>
    <x v="58"/>
    <n v="901907732"/>
    <s v="TECNOTICS SAS  "/>
    <n v="184873.95"/>
    <n v="35126.050000000003"/>
    <n v="0"/>
    <n v="0"/>
    <n v="0"/>
    <n v="220000"/>
  </r>
  <r>
    <s v="Factura electrónica"/>
    <s v="3790c90eed35f38f72da44a9d919c7c584843e3192c32536987f4769b4faa6ecd33277e0f0d2310f096c1202d8ab1221"/>
    <n v="240818"/>
    <d v="2025-04-09T00:00:00"/>
    <x v="47"/>
    <x v="47"/>
    <n v="901907732"/>
    <s v="Tecnotics S.A.S"/>
    <n v="109075.63"/>
    <n v="20724.37"/>
    <n v="0"/>
    <n v="0"/>
    <n v="0"/>
    <n v="129800"/>
  </r>
  <r>
    <s v="Factura electrónica"/>
    <s v="ebc62d28a9619612ed148ddfbc6953739a5c7ff1b9129d43ea62ef3d974b52d6cd208ae3205447f861a8854f10c09a53"/>
    <n v="38656"/>
    <d v="2025-04-08T00:00:00"/>
    <x v="35"/>
    <x v="35"/>
    <n v="901907732"/>
    <s v="TECNOTICS SAS"/>
    <n v="24074.079999999998"/>
    <n v="0"/>
    <n v="0"/>
    <n v="1925.93"/>
    <n v="0"/>
    <n v="26000.01"/>
  </r>
  <r>
    <s v="Factura electrónica"/>
    <s v="6f492abb42c04dd11a7fa8ff2a0cbe9d408ae1f0f45135ec3b524e4f3b13f84cca99de529308638dce0033bab49e3e6b"/>
    <n v="38553"/>
    <d v="2025-04-07T00:00:00"/>
    <x v="35"/>
    <x v="35"/>
    <n v="901907732"/>
    <s v="TECNOTICS SAS"/>
    <n v="41371.759999999995"/>
    <n v="31.93"/>
    <n v="0"/>
    <n v="3296.3"/>
    <n v="0"/>
    <n v="44699.99"/>
  </r>
  <r>
    <s v="Factura electrónica"/>
    <s v="9b8a8a6551e28bb7ca0cb3f2a89b8564405354dde55841091bd06d35c3f57df8ca9e9470efe94ada873d3390ebea1be0"/>
    <n v="68436"/>
    <d v="2025-04-07T00:00:00"/>
    <x v="67"/>
    <x v="67"/>
    <n v="901907732"/>
    <s v="TECNOTICS SAS"/>
    <n v="92844.44"/>
    <n v="0"/>
    <n v="0"/>
    <n v="6755.56"/>
    <n v="0"/>
    <n v="99600"/>
  </r>
  <r>
    <s v="Factura electrónica"/>
    <s v="3ab69346cf41b02f5fdefc9b4d181548fcb3aacc11033ec5f346d23f71ece659862747bc37243b5ea74464ba7f855042"/>
    <n v="1549601"/>
    <d v="2025-04-07T00:00:00"/>
    <x v="68"/>
    <x v="68"/>
    <n v="901907732"/>
    <s v="TECNOTICS SAS"/>
    <n v="299589"/>
    <n v="56921.91"/>
    <n v="0"/>
    <n v="0"/>
    <n v="0"/>
    <n v="356510.91"/>
  </r>
  <r>
    <s v="Factura electrónica"/>
    <s v="1714cb9f3bec429bfe70744236a22541e97b9045b641949462dcd8015cbf5b45c60ccb988ea3e0a3d20bb4825d7e1c75"/>
    <n v="1770229"/>
    <d v="2025-04-07T00:00:00"/>
    <x v="68"/>
    <x v="68"/>
    <n v="901907732"/>
    <s v="TECNOTICS SAS"/>
    <n v="84034"/>
    <n v="15966.46"/>
    <n v="0"/>
    <n v="0"/>
    <n v="0"/>
    <n v="100000.46"/>
  </r>
  <r>
    <s v="Factura electrónica"/>
    <s v="86c0e283accf4a5033d8656b2c6d0b7f6dcf9ca0fdd2fae652033e565bb26a47e3501af43f740d888842b7bcee045db2"/>
    <n v="528119"/>
    <d v="2025-04-04T00:00:00"/>
    <x v="0"/>
    <x v="0"/>
    <n v="901907732"/>
    <s v="TECNOTICS S.A.S."/>
    <n v="8596527"/>
    <n v="0"/>
    <n v="0"/>
    <n v="0"/>
    <n v="0"/>
    <n v="8596527"/>
  </r>
  <r>
    <s v="Factura electrónica"/>
    <s v="89c5afcecc9f4fb74808ee9bc25c911c801e6b205c4f506fc30ad2ef4e6669c4ddb9d1fb7c9555ccb796af8fdd28da9b"/>
    <n v="153697"/>
    <d v="2025-04-04T00:00:00"/>
    <x v="69"/>
    <x v="69"/>
    <n v="901907732"/>
    <s v="TECNOTICS SAS"/>
    <n v="115079.62"/>
    <n v="0"/>
    <n v="0"/>
    <n v="8370.3799999999992"/>
    <n v="0"/>
    <n v="123450"/>
  </r>
  <r>
    <s v="Factura electrónica"/>
    <s v="1264424da88e48538071253b1709607300fc9735ef49d99621c4f48410f512a6d43ce19380f6462c502896992002fff3"/>
    <n v="37632"/>
    <d v="2025-04-04T00:00:00"/>
    <x v="13"/>
    <x v="13"/>
    <n v="901907732"/>
    <s v="TECNOTICS SAS"/>
    <n v="74286"/>
    <n v="14114"/>
    <n v="0"/>
    <n v="0"/>
    <n v="0"/>
    <n v="88400"/>
  </r>
  <r>
    <s v="Factura electrónica"/>
    <s v="03c8e7830ba0d25d592cbefbd4a23d4f7b4903dbd7fc033e2592a643c01261aa513e90cb00ebc4002beda96d68860efa"/>
    <n v="1225"/>
    <d v="2025-04-04T00:00:00"/>
    <x v="23"/>
    <x v="23"/>
    <n v="901907732"/>
    <s v="TECNOTICS SAS"/>
    <n v="300000"/>
    <n v="0"/>
    <n v="0"/>
    <n v="0"/>
    <n v="0"/>
    <n v="300000"/>
  </r>
  <r>
    <s v="Factura electrónica"/>
    <s v="8c99657be49dffe05bee01fb2319dd800632015f438b67a86ecfb6946cfba966bdf1da6ffccfebd16e1762276aaa4ddd"/>
    <n v="726"/>
    <d v="2025-04-03T00:00:00"/>
    <x v="70"/>
    <x v="70"/>
    <n v="901907732"/>
    <s v="TECNOTICS SAS"/>
    <n v="290000"/>
    <n v="55100"/>
    <n v="0"/>
    <n v="0"/>
    <n v="0"/>
    <n v="345100"/>
  </r>
  <r>
    <s v="Factura electrónica"/>
    <s v="f478454aba8a5892245413cde8a0c6f1d724ca60d8b520bf408de800beb8554c15497c96ec5fb74fa6543f19beaa7cd5"/>
    <n v="4954"/>
    <d v="2025-04-02T00:00:00"/>
    <x v="11"/>
    <x v="11"/>
    <n v="901907732"/>
    <s v="TECNOTICS SAS"/>
    <n v="34000"/>
    <n v="0"/>
    <n v="0"/>
    <n v="0"/>
    <n v="0"/>
    <n v="34000"/>
  </r>
  <r>
    <s v="Factura electrónica"/>
    <s v="5f3d50e2c6829a359f2ac22a8353a00937d22b9135c0b3dbd6fac1d7bea4ea3b4c011b69e9cf6abcd6aa858832cebda1"/>
    <n v="1775"/>
    <d v="2025-04-01T00:00:00"/>
    <x v="5"/>
    <x v="5"/>
    <n v="901907732"/>
    <s v="TECNOTICS SAS"/>
    <n v="600500"/>
    <n v="0"/>
    <n v="0"/>
    <n v="0"/>
    <n v="0"/>
    <n v="600500"/>
  </r>
  <r>
    <s v="Factura electrónica"/>
    <s v="aefa456daa45dbc320b4fa5a5b0401cd92149d7181604fd1d89e62a66dbee03d536c2371571c7378c163d765190e81ee"/>
    <n v="2525"/>
    <d v="2025-04-01T00:00:00"/>
    <x v="71"/>
    <x v="71"/>
    <n v="901907732"/>
    <s v="TECNOTICS SAS"/>
    <n v="974800"/>
    <n v="185212"/>
    <n v="0"/>
    <n v="0"/>
    <n v="0"/>
    <n v="1160012"/>
  </r>
  <r>
    <s v="Factura electrónica"/>
    <s v="2e5b23e7f893f3a70c0da4cb03a2f671f627062e394be651c58780c3551521dd1902df09c53099c88e9c29ea79c59ded"/>
    <n v="4396"/>
    <d v="2025-03-31T00:00:00"/>
    <x v="50"/>
    <x v="50"/>
    <n v="901907732"/>
    <s v="TECNOTICS SAS"/>
    <n v="1765844.75"/>
    <n v="0"/>
    <n v="0"/>
    <n v="0"/>
    <n v="0"/>
    <n v="1765844.75"/>
  </r>
  <r>
    <s v="Factura electrónica"/>
    <s v="f89a7f4d4cc17b247d8fa20fb96b12b36e8177a163a0820a28cae1b13266bb5f38fd971b0ccc64487cd87b6ec088b3c3"/>
    <n v="422550"/>
    <d v="2025-03-25T00:00:00"/>
    <x v="44"/>
    <x v="44"/>
    <n v="901907732"/>
    <s v="TECNOTICS SAS"/>
    <n v="1383248.26"/>
    <n v="262817.17"/>
    <n v="0"/>
    <n v="0"/>
    <n v="0"/>
    <n v="1646065.43"/>
  </r>
  <r>
    <s v="Factura electrónica"/>
    <s v="3b672fc6f3c2e7c0199a8cd026262cf9e85e5fee6d1beeef66d522a349dccb7d082979a751ef2b23eca00b6591ef1de6"/>
    <n v="422553"/>
    <d v="2025-03-25T00:00:00"/>
    <x v="44"/>
    <x v="44"/>
    <n v="901907732"/>
    <s v="TECNOTICS SAS"/>
    <n v="4899159.66"/>
    <n v="930840.33"/>
    <n v="0"/>
    <n v="0"/>
    <n v="0"/>
    <n v="5829999.9900000002"/>
  </r>
  <r>
    <s v="Factura electrónica"/>
    <s v="a01b6c1bcbfda577f320e4f80273bb65f6094afabccdf9a687a8f60266f4d8011bea93716e9bc3b413f765a909251191"/>
    <n v="15019"/>
    <d v="2025-03-25T00:00:00"/>
    <x v="72"/>
    <x v="72"/>
    <n v="901907732"/>
    <s v="TECNOTICS SAS"/>
    <n v="50000"/>
    <n v="9500"/>
    <n v="0"/>
    <n v="0"/>
    <n v="0"/>
    <n v="59500"/>
  </r>
  <r>
    <s v="Factura electrónica"/>
    <s v="76e71efebe56bebd58af9723edb9ddf281449e9322859a74b25e375b2c85442f1195532c30b0031c62189d03501b5c8a"/>
    <n v="422521"/>
    <d v="2025-03-25T00:00:00"/>
    <x v="44"/>
    <x v="44"/>
    <n v="901907732"/>
    <s v="TECNOTICS SAS"/>
    <n v="218794.21000000002"/>
    <n v="41570.89"/>
    <n v="0"/>
    <n v="0"/>
    <n v="0"/>
    <n v="260365.1"/>
  </r>
  <r>
    <s v="Factura electrónica"/>
    <s v="adc070ea4b83416a9710fcd5f8a9682787f95c34249ef01bc7d1f80884327a857041a70f5ab9fffb1d2bf73b6afa7dfe"/>
    <n v="1224"/>
    <d v="2025-03-21T00:00:00"/>
    <x v="23"/>
    <x v="23"/>
    <n v="901907732"/>
    <s v="TECNOTICS SAS"/>
    <n v="300000"/>
    <n v="0"/>
    <n v="0"/>
    <n v="0"/>
    <n v="0"/>
    <n v="300000"/>
  </r>
  <r>
    <s v="Factura electrónica"/>
    <s v="74e7882cb443adde20c9671df04c2b05abdf5915a4a490f075dc71801b4b02c8e3e19d3e3fc86e232bebf85a23e4f175"/>
    <n v="3196523"/>
    <d v="2025-03-21T00:00:00"/>
    <x v="68"/>
    <x v="68"/>
    <n v="901907732"/>
    <s v="TECNOTICS SAS"/>
    <n v="675000"/>
    <n v="128250.19"/>
    <n v="0"/>
    <n v="0"/>
    <n v="0"/>
    <n v="803250.19"/>
  </r>
  <r>
    <s v="Factura electrónica"/>
    <s v="78c89f327922b7d0df0dce71781861ac7c3e1a928cdec1339bd1e857c3ed6921dc798725b11076c96f8f512699b21ed5"/>
    <n v="6394"/>
    <d v="2025-03-20T00:00:00"/>
    <x v="13"/>
    <x v="13"/>
    <n v="901907732"/>
    <s v="TECNOTICS SAS"/>
    <n v="88655"/>
    <n v="16845"/>
    <n v="0"/>
    <n v="0"/>
    <n v="0"/>
    <n v="105500"/>
  </r>
  <r>
    <s v="Factura electrónica"/>
    <s v="04a388a841f556dfabb07c7c52b907863df203bf47e1da8f827ba4f71f98b4f9712daf00b1f7a19a776747976503544b"/>
    <n v="6389"/>
    <d v="2025-03-20T00:00:00"/>
    <x v="13"/>
    <x v="13"/>
    <n v="901907732"/>
    <s v="TECNOTICS SAS"/>
    <n v="42857"/>
    <n v="8143"/>
    <n v="0"/>
    <n v="0"/>
    <n v="0"/>
    <n v="51000"/>
  </r>
  <r>
    <s v="Factura electrónica"/>
    <s v="08fe3ae02d8b009ac1923157b7e426d9e34ef4ef03d98efee664b1b0d2dd67739a6b9b64bce9098e2614bac68929a9d3"/>
    <n v="522068"/>
    <d v="2025-03-12T00:00:00"/>
    <x v="0"/>
    <x v="0"/>
    <n v="901907732"/>
    <s v="TECNOTICS S.A.S."/>
    <n v="382848"/>
    <n v="0"/>
    <n v="0"/>
    <n v="0"/>
    <n v="0"/>
    <n v="382848"/>
  </r>
  <r>
    <s v="Factura electrónica"/>
    <s v="ebe987a2c2565314de7ee9538db4bfcf5d7938955df1f6ad0a5c659401725ef24f752a05ed7f72842046b10e924d343e"/>
    <n v="3145202"/>
    <d v="2025-03-18T00:00:00"/>
    <x v="46"/>
    <x v="46"/>
    <n v="901907732"/>
    <s v="TECNOTICS SAS"/>
    <n v="11600"/>
    <n v="0"/>
    <n v="0"/>
    <n v="0"/>
    <n v="0"/>
    <n v="11600"/>
  </r>
  <r>
    <s v="Factura electrónica"/>
    <s v="a01bf8617bf1fd7ef6a97a2afc26c5ba45a21dda8f97e98fbe7c0109b8fc653b0a12fe6e23fd2167f0f56e02c0c99b80"/>
    <n v="1223"/>
    <d v="2025-03-14T00:00:00"/>
    <x v="23"/>
    <x v="23"/>
    <n v="901907732"/>
    <s v="TECNOTICS SAS"/>
    <n v="600000"/>
    <n v="0"/>
    <n v="0"/>
    <n v="0"/>
    <n v="0"/>
    <n v="600000"/>
  </r>
  <r>
    <s v="Factura electrónica"/>
    <s v="6e1da84cdd9cb641ad090c62b7e70ea14af727be6ddd596f75b4d524fc3b2493f61fd4412aebe8d8a181727e6be38201"/>
    <n v="522630"/>
    <d v="2025-03-13T00:00:00"/>
    <x v="0"/>
    <x v="0"/>
    <n v="901907732"/>
    <s v="TECNOTICS S.A.S."/>
    <n v="1427945"/>
    <n v="0"/>
    <n v="0"/>
    <n v="0"/>
    <n v="0"/>
    <n v="1427945"/>
  </r>
  <r>
    <s v="Factura electrónica"/>
    <s v="198d2101f11ea0f90772c0c465c2fe01e074450fb333f803627ed460b4d55b88dac8cf8cdc7fc7903b3040b641639e64"/>
    <n v="522193"/>
    <d v="2025-03-12T00:00:00"/>
    <x v="0"/>
    <x v="0"/>
    <n v="901907732"/>
    <s v="TECNOTICS S.A.S."/>
    <n v="464297"/>
    <n v="0"/>
    <n v="0"/>
    <n v="0"/>
    <n v="0"/>
    <n v="464297"/>
  </r>
  <r>
    <s v="Factura electrónica"/>
    <s v="877685f6e9dfbf1c323266f2329e7a45ad649559545f846c16aae53056fb8a1e2708741405cd9c98a60c12e26557ac29"/>
    <n v="522094"/>
    <d v="2025-03-12T00:00:00"/>
    <x v="0"/>
    <x v="0"/>
    <n v="901907732"/>
    <s v="TECNOTICS S.A.S."/>
    <n v="247798"/>
    <n v="0"/>
    <n v="0"/>
    <n v="0"/>
    <n v="0"/>
    <n v="247798"/>
  </r>
  <r>
    <s v="Factura electrónica"/>
    <s v="2ed7281780e0a43212a9b5e7870f57866bde562041afc429554aae84b90a27102d703ebd57cc8f50d41fda4490e65af7"/>
    <n v="522063"/>
    <d v="2025-03-12T00:00:00"/>
    <x v="0"/>
    <x v="0"/>
    <n v="901907732"/>
    <s v="TECNOTICS S.A.S."/>
    <n v="489040"/>
    <n v="0"/>
    <n v="0"/>
    <n v="0"/>
    <n v="0"/>
    <n v="489040"/>
  </r>
  <r>
    <s v="Factura electrónica"/>
    <s v="021b2990ad95e010884fca97ffbadb8320199ea0665a8bafe4a98e548c89f318679b927b3793abd3593344c7bccd2ed9"/>
    <n v="522060"/>
    <d v="2025-03-12T00:00:00"/>
    <x v="0"/>
    <x v="0"/>
    <n v="901907732"/>
    <s v="TECNOTICS S.A.S."/>
    <n v="359440"/>
    <n v="0"/>
    <n v="0"/>
    <n v="0"/>
    <n v="0"/>
    <n v="359440"/>
  </r>
  <r>
    <s v="Factura electrónica"/>
    <s v="efc7a4d9a3863e0b697f58f656f60cc5e668c787262a54240ac83ddebf6b7cdfef17f4438aaa370075431c22a3497f74"/>
    <n v="521696"/>
    <d v="2025-03-11T00:00:00"/>
    <x v="0"/>
    <x v="0"/>
    <n v="901907732"/>
    <s v="TECNOTICS S.A.S."/>
    <n v="129531"/>
    <n v="0"/>
    <n v="0"/>
    <n v="0"/>
    <n v="0"/>
    <n v="129531"/>
  </r>
  <r>
    <s v="Factura electrónica"/>
    <s v="1095909a591d98e09ba1e9cc2ecb135c2e44662228c68a5a7d5ddbb5de5073b3529ffdbc77453468bf580a509e868379"/>
    <n v="521689"/>
    <d v="2025-03-11T00:00:00"/>
    <x v="0"/>
    <x v="0"/>
    <n v="901907732"/>
    <s v="TECNOTICS S.A.S."/>
    <n v="459633"/>
    <n v="0"/>
    <n v="0"/>
    <n v="0"/>
    <n v="0"/>
    <n v="459633"/>
  </r>
  <r>
    <s v="Factura electrónica"/>
    <s v="929b6e09b57715ce02b21ba507de885e6ba7a6cfc82a8f30152c0ba50495c99ed5c5dd5bba5d8017fab81006db51065f"/>
    <n v="521688"/>
    <d v="2025-03-11T00:00:00"/>
    <x v="0"/>
    <x v="0"/>
    <n v="901907732"/>
    <s v="TECNOTICS S.A.S."/>
    <n v="321190"/>
    <n v="0"/>
    <n v="0"/>
    <n v="0"/>
    <n v="0"/>
    <n v="321190"/>
  </r>
  <r>
    <s v="Factura electrónica"/>
    <s v="ab62463318beb82fba99eae38c01e24856e1f2c0459d00b908e7146e7b797263a47673276b6254522d8159ec19a6c97d"/>
    <n v="521687"/>
    <d v="2025-03-11T00:00:00"/>
    <x v="0"/>
    <x v="0"/>
    <n v="901907732"/>
    <s v="TECNOTICS S.A.S."/>
    <n v="593907"/>
    <n v="0"/>
    <n v="0"/>
    <n v="0"/>
    <n v="0"/>
    <n v="593907"/>
  </r>
  <r>
    <s v="Factura electrónica"/>
    <s v="91d4be5b8b665d2cca0fe0b39838705b19e3e2d8102bfed7f26de21b5c984455d5533034f4b44adac4894729c2d0320a"/>
    <n v="521686"/>
    <d v="2025-03-11T00:00:00"/>
    <x v="0"/>
    <x v="0"/>
    <n v="901907732"/>
    <s v="TECNOTICS S.A.S."/>
    <n v="772558"/>
    <n v="0"/>
    <n v="0"/>
    <n v="0"/>
    <n v="0"/>
    <n v="772558"/>
  </r>
  <r>
    <s v="Factura electrónica"/>
    <s v="0d53ac54662a44ef2d7de1e4b3f162904558b5f43ab2c885b8a3826a543dabbf50462fe709a2c5dc39aa1cca208eccbb"/>
    <n v="521685"/>
    <d v="2025-03-11T00:00:00"/>
    <x v="0"/>
    <x v="0"/>
    <n v="901907732"/>
    <s v="TECNOTICS S.A.S."/>
    <n v="2230671"/>
    <n v="0"/>
    <n v="0"/>
    <n v="0"/>
    <n v="0"/>
    <n v="2230671"/>
  </r>
  <r>
    <s v="Factura electrónica"/>
    <s v="42dca85227d2e78e21ead7da86dac90e726b372af75642088e1af22cff57d50c30f02788b59df2e44a6e0843e9658224"/>
    <n v="521684"/>
    <d v="2025-03-11T00:00:00"/>
    <x v="0"/>
    <x v="0"/>
    <n v="901907732"/>
    <s v="TECNOTICS S.A.S."/>
    <n v="796916"/>
    <n v="0"/>
    <n v="0"/>
    <n v="0"/>
    <n v="0"/>
    <n v="796916"/>
  </r>
  <r>
    <s v="Factura electrónica"/>
    <s v="573c00dbe48daca793fbbdd67442054f8cd05c14b14760f5d7e286c9a3cf3b9f95dcf5f6267b979512d5749ded7c7096"/>
    <n v="521679"/>
    <d v="2025-03-11T00:00:00"/>
    <x v="0"/>
    <x v="0"/>
    <n v="901907732"/>
    <s v="TECNOTICS S.A.S."/>
    <n v="884308"/>
    <n v="0"/>
    <n v="0"/>
    <n v="0"/>
    <n v="0"/>
    <n v="884308"/>
  </r>
  <r>
    <s v="Factura electrónica"/>
    <s v="1aadbd77ef91a682c7b30f1cf7d6902f8c605b333a1d232b64e5ee4f76017a880c2c2a9ddc395aa24358af0fbbd709fa"/>
    <n v="21437"/>
    <d v="2025-03-11T00:00:00"/>
    <x v="9"/>
    <x v="9"/>
    <n v="901907732"/>
    <s v="TECNOTICS SAS"/>
    <n v="350000"/>
    <n v="0"/>
    <n v="0"/>
    <n v="0"/>
    <n v="0"/>
    <n v="350000"/>
  </r>
  <r>
    <s v="Factura electrónica"/>
    <s v="2e048795c01ff84edf90604736513524a2c376a842db8e717194acf4c288d6c6de6cff5abb07d2ddb8a2529c855c366d"/>
    <n v="1220"/>
    <d v="2025-03-08T00:00:00"/>
    <x v="23"/>
    <x v="23"/>
    <n v="901907732"/>
    <s v="TECNOTICS SAS"/>
    <n v="100000"/>
    <n v="0"/>
    <n v="0"/>
    <n v="0"/>
    <n v="0"/>
    <n v="100000"/>
  </r>
  <r>
    <s v="Factura electrónica"/>
    <s v="4b0685b4e2f6e0e53e0500df462189a57b769594a9dbade8292a48c9847448c9b7608040208539960bf6b4b9ffc59ee5"/>
    <n v="1219"/>
    <d v="2025-02-28T00:00:00"/>
    <x v="23"/>
    <x v="23"/>
    <n v="901907732"/>
    <s v="TECNOTICS SAS"/>
    <n v="760000"/>
    <n v="0"/>
    <n v="0"/>
    <n v="0"/>
    <n v="0"/>
    <n v="760000"/>
  </r>
  <r>
    <s v="Factura electrónica"/>
    <s v="577965fad1787dd908fe99a0128d49aa752a2c2d9c132da2d3ee53b9ebc5e48926af9470b39853ffa31f2c024d1c9ede"/>
    <n v="6012"/>
    <d v="2025-02-27T00:00:00"/>
    <x v="25"/>
    <x v="25"/>
    <n v="901907732"/>
    <s v="TECNOTICS SAS"/>
    <n v="705000"/>
    <n v="0"/>
    <n v="0"/>
    <n v="0"/>
    <n v="0"/>
    <n v="705000"/>
  </r>
  <r>
    <s v="Factura electrónica"/>
    <s v="f3e9a1119e1a55a6f30a6eca21c6aa1ad6aa21fe8cdc5b3ef45ec76dcd88bfe902742753d6ed6fcba7a1531a2dbc107c"/>
    <n v="516120"/>
    <d v="2025-02-18T00:00:00"/>
    <x v="0"/>
    <x v="0"/>
    <n v="901907732"/>
    <s v="TECNOTICS S.A.S."/>
    <n v="1392533"/>
    <n v="0"/>
    <n v="0"/>
    <n v="0"/>
    <n v="0"/>
    <n v="1392533"/>
  </r>
  <r>
    <s v="Factura electrónica"/>
    <s v="822b39a99df1e98bba03da77c87c8d8ed6f65fd0f1935ddb48b6abf70d1785499afa2d797b03a37fa5b50273d4054398"/>
    <n v="1242913"/>
    <d v="2025-02-17T00:00:00"/>
    <x v="73"/>
    <x v="73"/>
    <n v="901907732"/>
    <s v="TECNOTICS SAS"/>
    <n v="1767455"/>
    <n v="0"/>
    <n v="0"/>
    <n v="0"/>
    <n v="0"/>
    <n v="1767455"/>
  </r>
  <r>
    <s v="Factura electrónica"/>
    <s v="550d9fbcfae315d71379c5d9f667c3757631888a9c972c83085581dbddfe5ee9c2cb263e8a7f3c30a10b59f32d4f3e8c"/>
    <n v="514779"/>
    <d v="2025-02-13T00:00:00"/>
    <x v="0"/>
    <x v="0"/>
    <n v="901907732"/>
    <s v="TECNOTICS S.A.S."/>
    <n v="1067894"/>
    <n v="0"/>
    <n v="0"/>
    <n v="0"/>
    <n v="0"/>
    <n v="1067894"/>
  </r>
  <r>
    <s v="Factura electrónica"/>
    <s v="a76c1bcc0f907d96a3ce3e5fa70019d71c7d897ea728928c29531f98f80d14fa96cb876fec6294f1e6969cde7784c398"/>
    <n v="514778"/>
    <d v="2025-02-13T00:00:00"/>
    <x v="0"/>
    <x v="0"/>
    <n v="901907732"/>
    <s v="TECNOTICS S.A.S."/>
    <n v="110838"/>
    <n v="0"/>
    <n v="0"/>
    <n v="0"/>
    <n v="0"/>
    <n v="110838"/>
  </r>
  <r>
    <s v="Factura electrónica"/>
    <s v="48445f3e166bd3aa83a5ae58d5e30e187c6ec69481edb4a46313e01c3663c8604c0600c54f6df27fb8b28b3b8b5c9de4"/>
    <n v="514770"/>
    <d v="2025-02-13T00:00:00"/>
    <x v="0"/>
    <x v="0"/>
    <n v="901907732"/>
    <s v="TECNOTICS S.A.S."/>
    <n v="321429"/>
    <n v="0"/>
    <n v="0"/>
    <n v="0"/>
    <n v="0"/>
    <n v="321429"/>
  </r>
  <r>
    <s v="Factura electrónica"/>
    <s v="d5d696e2b654a83c84fcf1d1547671a9b5bdbd0ecea6e25d3113862eba3f53e28714d14490c5c17e5a83a1f1bada7ee2"/>
    <n v="514767"/>
    <d v="2025-02-13T00:00:00"/>
    <x v="0"/>
    <x v="0"/>
    <n v="901907732"/>
    <s v="TECNOTICS S.A.S."/>
    <n v="1125694"/>
    <n v="0"/>
    <n v="0"/>
    <n v="0"/>
    <n v="0"/>
    <n v="1125694"/>
  </r>
  <r>
    <s v="Factura electrónica"/>
    <s v="7bad42348cf67468642c4ea5f6eb0458620df30d23cec295bab255b51f5bd085b8e8458331f39c3d5d82ff8a2c451c77"/>
    <n v="514765"/>
    <d v="2025-02-13T00:00:00"/>
    <x v="0"/>
    <x v="0"/>
    <n v="901907732"/>
    <s v="TECNOTICS S.A.S."/>
    <n v="884969"/>
    <n v="0"/>
    <n v="0"/>
    <n v="0"/>
    <n v="0"/>
    <n v="884969"/>
  </r>
  <r>
    <s v="Factura electrónica"/>
    <s v="84ca8c5b857f76d2df98b79e8a5a0a5610e4932493e3fe8f445d8fb3599e23a6b1260c8acae67331a443a48c5ecd0b33"/>
    <n v="514763"/>
    <d v="2025-02-13T00:00:00"/>
    <x v="0"/>
    <x v="0"/>
    <n v="901907732"/>
    <s v="TECNOTICS S.A.S."/>
    <n v="356757"/>
    <n v="0"/>
    <n v="0"/>
    <n v="0"/>
    <n v="0"/>
    <n v="356757"/>
  </r>
  <r>
    <s v="Factura electrónica"/>
    <s v="67de37e6847df46fcb4eef6d12c1104d3ef00dd631bb7e23d4b988e629a783875409c629dad12d7eb65fd54c5b2de695"/>
    <n v="514759"/>
    <d v="2025-02-13T00:00:00"/>
    <x v="0"/>
    <x v="0"/>
    <n v="901907732"/>
    <s v="TECNOTICS S.A.S."/>
    <n v="459976"/>
    <n v="0"/>
    <n v="0"/>
    <n v="0"/>
    <n v="0"/>
    <n v="459976"/>
  </r>
  <r>
    <s v="Factura electrónica"/>
    <s v="93ac0e3a5153278986e8486e4ff4cdb73682eb85487b63fbf5f138c2c7c34accc55c6492d2eaeeedd85b97bd9dc134bb"/>
    <n v="514758"/>
    <d v="2025-02-13T00:00:00"/>
    <x v="0"/>
    <x v="0"/>
    <n v="901907732"/>
    <s v="TECNOTICS S.A.S."/>
    <n v="594350"/>
    <n v="0"/>
    <n v="0"/>
    <n v="0"/>
    <n v="0"/>
    <n v="594350"/>
  </r>
  <r>
    <s v="Factura electrónica"/>
    <s v="dfb5be8055588e554c5aa6aa45556f2bb1296d0cb1a92f105dea8a4112d55f2de20d97d1937271b7fd394b638d152e7f"/>
    <n v="514754"/>
    <d v="2025-02-13T00:00:00"/>
    <x v="0"/>
    <x v="0"/>
    <n v="901907732"/>
    <s v="TECNOTICS S.A.S."/>
    <n v="706719"/>
    <n v="0"/>
    <n v="0"/>
    <n v="0"/>
    <n v="0"/>
    <n v="706719"/>
  </r>
  <r>
    <s v="Factura electrónica"/>
    <s v="c702e046bd87e2ee5c15da8fc7f80f95019168f39a14215f619fc8d7d9a3d6f8a092b49b994824b47a7bea50e642ce05"/>
    <n v="514753"/>
    <d v="2025-02-13T00:00:00"/>
    <x v="0"/>
    <x v="0"/>
    <n v="901907732"/>
    <s v="TECNOTICS S.A.S."/>
    <n v="2699935"/>
    <n v="0"/>
    <n v="0"/>
    <n v="0"/>
    <n v="0"/>
    <n v="2699935"/>
  </r>
  <r>
    <s v="Factura electrónica"/>
    <s v="58aa9848bbd36a29dc2f2446f939f33b789cf07e2ffa41d0a4a447c6c367fcca06fafb509cb206688e7046cc72788c08"/>
    <n v="514752"/>
    <d v="2025-02-13T00:00:00"/>
    <x v="0"/>
    <x v="0"/>
    <n v="901907732"/>
    <s v="TECNOTICS S.A.S."/>
    <n v="692735"/>
    <n v="0"/>
    <n v="0"/>
    <n v="0"/>
    <n v="0"/>
    <n v="6927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x v="0"/>
    <s v="0ca529a4eb298c18d480562f77e345f92b464cc18b8ccb83f0f630dabf30fc547ea3e4dd1d319d701ed16d92edad320e"/>
    <n v="1"/>
    <d v="2025-03-06T00:00:00"/>
    <n v="901907732"/>
    <s v="TECNOTICS SAS"/>
    <x v="0"/>
    <x v="0"/>
    <n v="550000"/>
    <n v="104500"/>
    <n v="0"/>
    <n v="0"/>
    <n v="0"/>
    <n v="654500"/>
  </r>
  <r>
    <x v="0"/>
    <s v="bc7e4abaa565e3360dac35f42cccceb4bbbd3626328f38a5fd9e96a60a778981109b3b795d3b4ee0c5f505fe407e1cad"/>
    <n v="2"/>
    <d v="2025-03-06T00:00:00"/>
    <n v="901907732"/>
    <s v="TECNOTICS SAS"/>
    <x v="1"/>
    <x v="1"/>
    <n v="200000"/>
    <n v="0"/>
    <n v="0"/>
    <n v="0"/>
    <n v="0"/>
    <n v="200000"/>
  </r>
  <r>
    <x v="0"/>
    <s v="287efd1111d9df3f1d35981d477437a3935829354fb79c214338a3cdfe104f0ebce51f0c4464a104b47ec9a2a5a848a9"/>
    <n v="3"/>
    <d v="2025-03-06T00:00:00"/>
    <n v="901907732"/>
    <s v="TECNOTICS SAS"/>
    <x v="2"/>
    <x v="2"/>
    <n v="650000"/>
    <n v="123500"/>
    <n v="0"/>
    <n v="0"/>
    <n v="0"/>
    <n v="773500"/>
  </r>
  <r>
    <x v="0"/>
    <s v="d717c9894107f58afe544d83f3b04368108a1719b77d6e11c76005b9cbfbf90b39bca792850ceda3f2897f81696a223d"/>
    <n v="4"/>
    <d v="2025-03-06T00:00:00"/>
    <n v="901907732"/>
    <s v="TECNOTICS SAS"/>
    <x v="3"/>
    <x v="3"/>
    <n v="1650000"/>
    <n v="313500"/>
    <n v="0"/>
    <n v="0"/>
    <n v="0"/>
    <n v="1963500"/>
  </r>
  <r>
    <x v="0"/>
    <s v="75231292c4b4a470e70655ca3e1b3b261d3a83e02be31336c3397365382a6404fb39a5ff3a5f293f457d1fb581f8f5bf"/>
    <n v="5"/>
    <d v="2025-03-06T00:00:00"/>
    <n v="901907732"/>
    <s v="TECNOTICS SAS"/>
    <x v="3"/>
    <x v="3"/>
    <n v="1584738"/>
    <n v="0"/>
    <n v="0"/>
    <n v="0"/>
    <n v="0"/>
    <n v="1584738"/>
  </r>
  <r>
    <x v="0"/>
    <s v="da965cc736422b2136d3bc9ee0868612c58cb1790bf29dbc23c90357a3088520b3d7db46e09fb537a4cd81b332f5c610"/>
    <n v="6"/>
    <d v="2025-03-06T00:00:00"/>
    <n v="901907732"/>
    <s v="TECNOTICS SAS"/>
    <x v="4"/>
    <x v="4"/>
    <n v="1072018"/>
    <n v="0"/>
    <n v="0"/>
    <n v="0"/>
    <n v="0"/>
    <n v="1072018"/>
  </r>
  <r>
    <x v="0"/>
    <s v="bb192f48ce7d0039100ee6d7941917e9c4d5a9bb2640566606ac037d2b5d064eada81e0e21e5ff54b00bc6f3bb4a4dbe"/>
    <n v="7"/>
    <d v="2025-03-06T00:00:00"/>
    <n v="901907732"/>
    <s v="TECNOTICS SAS"/>
    <x v="5"/>
    <x v="5"/>
    <n v="367811"/>
    <n v="0"/>
    <n v="0"/>
    <n v="0"/>
    <n v="0"/>
    <n v="367811"/>
  </r>
  <r>
    <x v="0"/>
    <s v="1563a4b96c509c44e757f16d7ee724f24ad8e5a5054346260748fa259516f8cc2debf79afbcd04ea11127f5422cfe4a9"/>
    <n v="8"/>
    <d v="2025-03-06T00:00:00"/>
    <n v="901907732"/>
    <s v="TECNOTICS SAS"/>
    <x v="6"/>
    <x v="6"/>
    <n v="430000"/>
    <n v="81700"/>
    <n v="0"/>
    <n v="0"/>
    <n v="0"/>
    <n v="511700"/>
  </r>
  <r>
    <x v="0"/>
    <s v="9a7a3c925620ebe9f7162021877c41ae22b92e44baf63770911041fb15e958d6569a624b68c2ce392dec9609012d7b4d"/>
    <n v="9"/>
    <d v="2025-03-07T00:00:00"/>
    <n v="901907732"/>
    <s v="TECNOTICS SAS"/>
    <x v="7"/>
    <x v="7"/>
    <n v="367811"/>
    <n v="0"/>
    <n v="0"/>
    <n v="0"/>
    <n v="0"/>
    <n v="367811"/>
  </r>
  <r>
    <x v="0"/>
    <s v="fa06717c752227527f2b35de5c770807ca37e91e0594607d2592904c5e532b7d9e0a86d28b261f4f5fa9915995384643"/>
    <n v="10"/>
    <d v="2025-09-10T00:00:00"/>
    <n v="901907732"/>
    <s v="TECNOTICS SAS"/>
    <x v="8"/>
    <x v="8"/>
    <n v="100"/>
    <n v="0"/>
    <n v="0"/>
    <n v="0"/>
    <n v="0"/>
    <n v="100"/>
  </r>
  <r>
    <x v="0"/>
    <s v="187a7140782c15e4c06605f2b0a0043142850b893f8563f5e8cc9d149070522da5c0e579ec09f757bed4995a5094fbcc"/>
    <n v="10"/>
    <d v="2025-03-07T00:00:00"/>
    <n v="901907732"/>
    <s v="TECNOTICS SAS"/>
    <x v="6"/>
    <x v="6"/>
    <n v="430000"/>
    <n v="0"/>
    <n v="0"/>
    <n v="0"/>
    <n v="0"/>
    <n v="430000"/>
  </r>
  <r>
    <x v="0"/>
    <s v="bf90fd36af5a60d3650d9a56d2ac9641fb543f230d2c09e3587f15faec491d844e96d1f419e2256abf3e4f2fe9e933f6"/>
    <n v="12"/>
    <d v="2025-09-10T00:00:00"/>
    <n v="901907732"/>
    <s v="TECNOTICS SAS"/>
    <x v="8"/>
    <x v="8"/>
    <n v="100"/>
    <n v="0"/>
    <n v="0"/>
    <n v="0"/>
    <n v="0"/>
    <n v="100"/>
  </r>
  <r>
    <x v="0"/>
    <s v="e6d75439dfc94c452f43da7382d40c0fc531d29004e4088381aad8baf0bb932827e13aafb8e6cb3b0461dd612a642cfb"/>
    <n v="12"/>
    <d v="2025-03-12T00:00:00"/>
    <n v="901907732"/>
    <s v="TECNOTICS SAS"/>
    <x v="9"/>
    <x v="9"/>
    <n v="1822236.9999999998"/>
    <n v="285637.07"/>
    <n v="0"/>
    <n v="0"/>
    <n v="0"/>
    <n v="2107874.0699999998"/>
  </r>
  <r>
    <x v="0"/>
    <s v="34766e41cf56b4ab37ab72ff95fd3211cd23ec5bad17379c0f4aa2693d3561eb75c787409be651ca9d321106bce67e68"/>
    <n v="13"/>
    <d v="2025-09-10T00:00:00"/>
    <n v="901907732"/>
    <s v="TECNOTICS SAS"/>
    <x v="8"/>
    <x v="8"/>
    <n v="100"/>
    <n v="0"/>
    <n v="0"/>
    <n v="0"/>
    <n v="0"/>
    <n v="100"/>
  </r>
  <r>
    <x v="0"/>
    <s v="c9563be5dddc6b80ddb330b40527af86d9e062dadd0f5fa89477e779d4639b7b254574d7ec63f689d4e468969106b8ca"/>
    <n v="13"/>
    <d v="2025-03-12T00:00:00"/>
    <n v="901907732"/>
    <s v="TECNOTICS SAS"/>
    <x v="10"/>
    <x v="10"/>
    <n v="900000"/>
    <n v="171000"/>
    <n v="0"/>
    <n v="0"/>
    <n v="0"/>
    <n v="1071000"/>
  </r>
  <r>
    <x v="0"/>
    <s v="83c0f82b37862e56c10acf319138066d0bc0bef217fcdff661cd625f5f63105fe43d105b4102048a1ce7f4844bef1ebb"/>
    <n v="14"/>
    <d v="2025-09-10T00:00:00"/>
    <n v="901907732"/>
    <s v="TECNOTICS SAS"/>
    <x v="8"/>
    <x v="8"/>
    <n v="100"/>
    <n v="0"/>
    <n v="0"/>
    <n v="0"/>
    <n v="0"/>
    <n v="100"/>
  </r>
  <r>
    <x v="0"/>
    <s v="6681799a63525ac4f61f4ab77647d30925d9a1a20246c70a056c9f1f468b77789bc825db4abdf0235bee36f884b4ab37"/>
    <n v="14"/>
    <d v="2025-03-12T00:00:00"/>
    <n v="901907732"/>
    <s v="TECNOTICS SAS"/>
    <x v="11"/>
    <x v="11"/>
    <n v="189584"/>
    <n v="0"/>
    <n v="0"/>
    <n v="0"/>
    <n v="0"/>
    <n v="189584"/>
  </r>
  <r>
    <x v="0"/>
    <s v="43fc38cc4c62297a0914ecdf9082041b7539470b9d0d8dfa899bc8e5f87970f90797d2bc0e7b6b70f6178bc486546658"/>
    <n v="15"/>
    <d v="2025-03-13T00:00:00"/>
    <n v="901907732"/>
    <s v="TECNOTICS SAS"/>
    <x v="10"/>
    <x v="10"/>
    <n v="161000"/>
    <n v="30590"/>
    <n v="0"/>
    <n v="0"/>
    <n v="0"/>
    <n v="191590"/>
  </r>
  <r>
    <x v="0"/>
    <s v="f3161854e51c1d76d4cd10e16294e81c2eece185795d1d5b33ea06ab05b2bd7858c61c86f6cf62fe1b03844548762e28"/>
    <n v="16"/>
    <d v="2025-04-04T00:00:00"/>
    <n v="901907732"/>
    <s v="TECNOTICS SAS"/>
    <x v="12"/>
    <x v="12"/>
    <n v="1737708"/>
    <n v="0"/>
    <n v="0"/>
    <n v="0"/>
    <n v="0"/>
    <n v="1737708"/>
  </r>
  <r>
    <x v="0"/>
    <s v="09b74ef09160df8398c4c861b7386ba34d16e87e33c186511ef0b5d91ff302b9844d37f39124fd7ba5a2eba77e88bfd1"/>
    <n v="17"/>
    <d v="2025-04-04T00:00:00"/>
    <n v="901907732"/>
    <s v="TECNOTICS SAS"/>
    <x v="6"/>
    <x v="6"/>
    <n v="432627"/>
    <n v="0"/>
    <n v="0"/>
    <n v="0"/>
    <n v="0"/>
    <n v="432627"/>
  </r>
  <r>
    <x v="0"/>
    <s v="8c3524eee64492a0a921cfd77aff1e59be8f14c6bd4ed620554cb8b211402d1c1673dd5221877848b9f71d825ecfbc1f"/>
    <n v="18"/>
    <d v="2025-04-04T00:00:00"/>
    <n v="901907732"/>
    <s v="TECNOTICS SAS"/>
    <x v="7"/>
    <x v="7"/>
    <n v="367859"/>
    <n v="0"/>
    <n v="0"/>
    <n v="0"/>
    <n v="0"/>
    <n v="367859"/>
  </r>
  <r>
    <x v="0"/>
    <s v="72863de7868f0abdbdd930fbfc0ea9a0f5d515e4bfed16869689bb21ee3f142debc276a53175edf589d4ac55aab41fa9"/>
    <n v="19"/>
    <d v="2025-04-04T00:00:00"/>
    <n v="901907732"/>
    <s v="TECNOTICS SAS"/>
    <x v="4"/>
    <x v="4"/>
    <n v="1128840"/>
    <n v="0"/>
    <n v="0"/>
    <n v="0"/>
    <n v="0"/>
    <n v="1128840"/>
  </r>
  <r>
    <x v="0"/>
    <s v="0726f0cf11297740dbde31649181fa557b7e21298855c64ecd8085798e20bf717bdc0054583d8a9278fb1019b2e57aea"/>
    <n v="20"/>
    <d v="2025-04-04T00:00:00"/>
    <n v="901907732"/>
    <s v="TECNOTICS SAS"/>
    <x v="3"/>
    <x v="3"/>
    <n v="2019765"/>
    <n v="0"/>
    <n v="0"/>
    <n v="0"/>
    <n v="0"/>
    <n v="2019765"/>
  </r>
  <r>
    <x v="0"/>
    <s v="ec09caa03b4320a9055750971b25a6cf071b01754b8130146829deeb8454f85aca3895c9b39d049ef3f622646d67515b"/>
    <n v="21"/>
    <d v="2025-09-10T00:00:00"/>
    <n v="901907732"/>
    <s v="TECNOTICS SAS"/>
    <x v="8"/>
    <x v="8"/>
    <n v="100"/>
    <n v="0"/>
    <n v="0"/>
    <n v="0"/>
    <n v="0"/>
    <n v="100"/>
  </r>
  <r>
    <x v="0"/>
    <s v="b1f99f91dd76540eb407d3637c880fb5d6758f2eb79b7258db80d531f810cbbd57c1300e9065599991793a905b830932"/>
    <n v="21"/>
    <d v="2025-04-04T00:00:00"/>
    <n v="901907732"/>
    <s v="TECNOTICS SAS"/>
    <x v="3"/>
    <x v="3"/>
    <n v="1650000"/>
    <n v="313500"/>
    <n v="0"/>
    <n v="0"/>
    <n v="0"/>
    <n v="1963500"/>
  </r>
  <r>
    <x v="0"/>
    <s v="65e54d5dc2a591adc9099b4be0ad1b886aa5711b3c60ef6136740827df6b866d116901fda1809973733b059415dbf735"/>
    <n v="22"/>
    <d v="2025-09-10T00:00:00"/>
    <n v="901907732"/>
    <s v="TECNOTICS SAS"/>
    <x v="13"/>
    <x v="13"/>
    <n v="1620000"/>
    <n v="307800"/>
    <n v="0"/>
    <n v="0"/>
    <n v="0"/>
    <n v="1927800"/>
  </r>
  <r>
    <x v="0"/>
    <s v="c377bf44842c9c5320dfcf7cf2dbd9f85d14830d0636ced2a5a0ea1365406c000fd10a107824aef5042a6f08643b501a"/>
    <n v="22"/>
    <d v="2025-04-04T00:00:00"/>
    <n v="901907732"/>
    <s v="TECNOTICS SAS"/>
    <x v="2"/>
    <x v="2"/>
    <n v="1510000"/>
    <n v="123500"/>
    <n v="0"/>
    <n v="0"/>
    <n v="0"/>
    <n v="1633500"/>
  </r>
  <r>
    <x v="0"/>
    <s v="60272ebe7c7202d4a41c62867d95e3999680185220d2ac047bf981f3c27347786fce3d450d473d5f60bb864ddb5529d6"/>
    <n v="23"/>
    <d v="2025-04-04T00:00:00"/>
    <n v="901907732"/>
    <s v="TECNOTICS SAS"/>
    <x v="1"/>
    <x v="1"/>
    <n v="200000"/>
    <n v="0"/>
    <n v="0"/>
    <n v="0"/>
    <n v="0"/>
    <n v="200000"/>
  </r>
  <r>
    <x v="0"/>
    <s v="7db84a5c36a72e8ef479d4d9ea9cb0211dff0da419b5e89b0f6634112a6412ad33c65475f5ef3fed022b8c7e053d82e1"/>
    <n v="24"/>
    <d v="2025-04-04T00:00:00"/>
    <n v="901907732"/>
    <s v="TECNOTICS SAS"/>
    <x v="0"/>
    <x v="0"/>
    <n v="550000"/>
    <n v="104500"/>
    <n v="0"/>
    <n v="0"/>
    <n v="0"/>
    <n v="654500"/>
  </r>
  <r>
    <x v="0"/>
    <s v="de942786e33655c11579363a1dcadc3d003330ac6f96e8198abc4b4d233aa295b31976e8c9262f1c4b5ba758c05e299a"/>
    <n v="25"/>
    <d v="2025-04-04T00:00:00"/>
    <n v="901907732"/>
    <s v="TECNOTICS SAS"/>
    <x v="14"/>
    <x v="14"/>
    <n v="2085282"/>
    <n v="171000"/>
    <n v="0"/>
    <n v="0"/>
    <n v="0"/>
    <n v="2256282"/>
  </r>
  <r>
    <x v="0"/>
    <s v="206c7047b43c4e5972edd21f5ff4d3958a2a50a0fe5a54b7b63b3ab0fbeac74467ffe7bcf76f05ecaf0e0211af1adbd7"/>
    <n v="26"/>
    <d v="2025-04-04T00:00:00"/>
    <n v="901907732"/>
    <s v="TECNOTICS SAS"/>
    <x v="10"/>
    <x v="10"/>
    <n v="900000"/>
    <n v="171000"/>
    <n v="0"/>
    <n v="0"/>
    <n v="0"/>
    <n v="1071000"/>
  </r>
  <r>
    <x v="0"/>
    <s v="3564cbff70d0951b5d137a9a46dc143364bc8c428473bf815a13ee08018955f1b949c1a2eac6311846438d583d175679"/>
    <n v="27"/>
    <d v="2025-04-04T00:00:00"/>
    <n v="901907732"/>
    <s v="TECNOTICS SAS"/>
    <x v="15"/>
    <x v="15"/>
    <n v="1950000"/>
    <n v="370500"/>
    <n v="0"/>
    <n v="0"/>
    <n v="0"/>
    <n v="2320500"/>
  </r>
  <r>
    <x v="0"/>
    <s v="d717478f93644c5e897c53d595823101f16de8c0670218f388c2fefa509bd210d744d8a33d28ddfe32327aa8e7ca478a"/>
    <n v="28"/>
    <d v="2025-04-04T00:00:00"/>
    <n v="901907732"/>
    <s v="TECNOTICS SAS"/>
    <x v="16"/>
    <x v="16"/>
    <n v="1729962"/>
    <n v="0"/>
    <n v="0"/>
    <n v="0"/>
    <n v="0"/>
    <n v="1729962"/>
  </r>
  <r>
    <x v="0"/>
    <s v="0631da87c0dd28c369f2d5ac0edf51ab273ed8a9bc97a4b26b21ccb923cc65761a5512cb466872c5a7264ec2dc85fd5c"/>
    <n v="29"/>
    <d v="2025-04-04T00:00:00"/>
    <n v="901907732"/>
    <s v="TECNOTICS SAS"/>
    <x v="16"/>
    <x v="16"/>
    <n v="2105000"/>
    <n v="399950"/>
    <n v="0"/>
    <n v="0"/>
    <n v="0"/>
    <n v="2504950"/>
  </r>
  <r>
    <x v="0"/>
    <s v="7c36d10f78a314f6f76dedd6508b5dd031f2bcd4451193b4fe048a5cdd28de45db34b0e2b5304117c6ef91a6ebcf76ec"/>
    <n v="30"/>
    <d v="2025-04-04T00:00:00"/>
    <n v="901907732"/>
    <s v="TECNOTICS SAS"/>
    <x v="16"/>
    <x v="16"/>
    <n v="3406250"/>
    <n v="0"/>
    <n v="0"/>
    <n v="0"/>
    <n v="0"/>
    <n v="3406250"/>
  </r>
  <r>
    <x v="0"/>
    <s v="b05acc2b5ff9022f78c638734c211ffaec00d62e305a3fdc5414868a4505326a789ee4b80af3032d89b5461acabdf380"/>
    <n v="31"/>
    <d v="2025-04-07T00:00:00"/>
    <n v="901907732"/>
    <s v="TECNOTICS SAS"/>
    <x v="17"/>
    <x v="17"/>
    <n v="5899000"/>
    <n v="0"/>
    <n v="0"/>
    <n v="0"/>
    <n v="0"/>
    <n v="5899000"/>
  </r>
  <r>
    <x v="0"/>
    <s v="772991fc2e77053fadc949a1dc9fbc1977968fa11a8275058a31f6de52fb93946da79fbcc07829d440b9866e648f43b7"/>
    <n v="32"/>
    <d v="2025-04-07T00:00:00"/>
    <n v="901907732"/>
    <s v="TECNOTICS SAS"/>
    <x v="17"/>
    <x v="17"/>
    <n v="3739310"/>
    <n v="0"/>
    <n v="0"/>
    <n v="0"/>
    <n v="0"/>
    <n v="3739310"/>
  </r>
  <r>
    <x v="0"/>
    <s v="db8a1f4e0d65c120dda9845e9205adbcf7ba3cf86522eb363870ba829ba13b4fc1255228d98f2bd5562dd67d919e6ccd"/>
    <n v="33"/>
    <d v="2025-04-07T00:00:00"/>
    <n v="901907732"/>
    <s v="TECNOTICS SAS"/>
    <x v="14"/>
    <x v="14"/>
    <n v="1520853.74"/>
    <n v="288962.21000000002"/>
    <n v="0"/>
    <n v="0"/>
    <n v="0"/>
    <n v="1809815.95"/>
  </r>
  <r>
    <x v="0"/>
    <s v="ab2636ef8dfeb543f0b46970df338fef89fdcc159a0b355c08eac12d9e5251cbcd3245b3d1711afd028bed9b7a87c36c"/>
    <n v="34"/>
    <d v="2025-04-11T00:00:00"/>
    <n v="901907732"/>
    <s v="TECNOTICS SAS"/>
    <x v="18"/>
    <x v="18"/>
    <n v="2483000"/>
    <n v="471770"/>
    <n v="0"/>
    <n v="0"/>
    <n v="0"/>
    <n v="2954770"/>
  </r>
  <r>
    <x v="0"/>
    <s v="e6fbb1415c07453e1a9d7c2ea76ba8fde58d3e52cfef01fc3c71a2bc157c2ecc9159dbe65bf788e26fd1de887050b9db"/>
    <n v="35"/>
    <d v="2025-04-15T00:00:00"/>
    <n v="901907732"/>
    <s v="TECNOTICS SAS"/>
    <x v="19"/>
    <x v="19"/>
    <n v="2365000"/>
    <n v="0"/>
    <n v="0"/>
    <n v="0"/>
    <n v="0"/>
    <n v="2365000"/>
  </r>
  <r>
    <x v="0"/>
    <s v="bff6e20b4deecf9959040ad9793cb63279f7fa717b7e35e72baec817f58e9d72ea36a04de532e0cd3b5521a0e7aab393"/>
    <n v="36"/>
    <d v="2025-04-22T00:00:00"/>
    <n v="901907732"/>
    <s v="TECNOTICS SAS"/>
    <x v="3"/>
    <x v="3"/>
    <n v="5360000"/>
    <n v="1018400"/>
    <n v="0"/>
    <n v="0"/>
    <n v="0"/>
    <n v="6378400"/>
  </r>
  <r>
    <x v="0"/>
    <s v="656713bba8a6559d2d1960b43571e99c4b091d8614d018ab8101133341c84856ca197648877435909483903d191dbe0b"/>
    <n v="37"/>
    <d v="2025-04-23T00:00:00"/>
    <n v="901907732"/>
    <s v="TECNOTICS SAS"/>
    <x v="16"/>
    <x v="16"/>
    <n v="280000"/>
    <n v="0"/>
    <n v="0"/>
    <n v="0"/>
    <n v="0"/>
    <n v="280000"/>
  </r>
  <r>
    <x v="0"/>
    <s v="8ccefd99014b5b1bed65b5b31825552e26d850b47c7434e02b82402973e69e48e83620099bb7ddcc301db16a61e36d4d"/>
    <n v="38"/>
    <d v="2025-04-24T00:00:00"/>
    <n v="901907732"/>
    <s v="TECNOTICS SAS"/>
    <x v="20"/>
    <x v="20"/>
    <n v="1919028"/>
    <n v="0"/>
    <n v="0"/>
    <n v="0"/>
    <n v="0"/>
    <n v="1919028"/>
  </r>
  <r>
    <x v="0"/>
    <s v="b92f057730c0a5ee37143f2f937ad6e969f541d1914d74619125a217bcb3fff379a350adab877fe0fd560f5db90d9e15"/>
    <n v="39"/>
    <d v="2025-04-24T00:00:00"/>
    <n v="901907732"/>
    <s v="TECNOTICS SAS"/>
    <x v="21"/>
    <x v="21"/>
    <n v="156000"/>
    <n v="0"/>
    <n v="0"/>
    <n v="0"/>
    <n v="0"/>
    <n v="156000"/>
  </r>
  <r>
    <x v="0"/>
    <s v="4d38f0aedbca04643cb0dde58169bd1873a4d1770a4d7546bb505875a4db31d0d82db08533c53a203a459b3c71ee3a7d"/>
    <n v="40"/>
    <d v="2025-04-24T00:00:00"/>
    <n v="901907732"/>
    <s v="TECNOTICS SAS"/>
    <x v="11"/>
    <x v="11"/>
    <n v="191192"/>
    <n v="0"/>
    <n v="0"/>
    <n v="0"/>
    <n v="0"/>
    <n v="191192"/>
  </r>
  <r>
    <x v="0"/>
    <s v="0dee160249624bb88ac8092d4b4c943ecae8cdd3277716c60142121ae85df52c2125f2eb9c77ce4a3b0b586946c8479b"/>
    <n v="41"/>
    <d v="2025-04-24T00:00:00"/>
    <n v="901907732"/>
    <s v="TECNOTICS SAS"/>
    <x v="15"/>
    <x v="15"/>
    <n v="162000.84"/>
    <n v="30780.16"/>
    <n v="0"/>
    <n v="0"/>
    <n v="0"/>
    <n v="192781"/>
  </r>
  <r>
    <x v="0"/>
    <s v="11a44a06a1907454ff25a45c5b08fd19b9ac408f9b076f413c3d8ca89638a66784536409c477025b39ef652e7e72dc34"/>
    <n v="42"/>
    <d v="2025-04-24T00:00:00"/>
    <n v="901907732"/>
    <s v="TECNOTICS SAS"/>
    <x v="15"/>
    <x v="15"/>
    <n v="246000"/>
    <n v="46740"/>
    <n v="0"/>
    <n v="0"/>
    <n v="0"/>
    <n v="292740"/>
  </r>
  <r>
    <x v="0"/>
    <s v="3dc674722b26a47b1509dba07ae60e7353e916383f7699bc4dbe76e55f0e5dd14e5124d51b1e51d5364b56733fe2b944"/>
    <n v="43"/>
    <d v="2025-04-24T00:00:00"/>
    <n v="901907732"/>
    <s v="TECNOTICS SAS"/>
    <x v="15"/>
    <x v="15"/>
    <n v="815000"/>
    <n v="154850"/>
    <n v="0"/>
    <n v="0"/>
    <n v="0"/>
    <n v="969850"/>
  </r>
  <r>
    <x v="0"/>
    <s v="ce7a318587ece779411c37ffc477b3b5408e0eaf8d3b8548265bd110a2a52d30d7e7425b4f690cb19657c97125b3dc39"/>
    <n v="44"/>
    <d v="2025-05-07T00:00:00"/>
    <n v="901907732"/>
    <s v="TECNOTICS SAS"/>
    <x v="9"/>
    <x v="9"/>
    <n v="1816237"/>
    <n v="218500"/>
    <n v="0"/>
    <n v="0"/>
    <n v="0"/>
    <n v="2034737"/>
  </r>
  <r>
    <x v="0"/>
    <s v="39c7c4359da505ad00b15df2c15c0e690790b604e846c3b7dba44734e0693e97614e24052c66f9bcbeb81bd8b05e2bee"/>
    <n v="45"/>
    <d v="2025-05-07T00:00:00"/>
    <n v="901907732"/>
    <s v="TECNOTICS SAS"/>
    <x v="9"/>
    <x v="9"/>
    <n v="1476764.71"/>
    <n v="280585.28999999998"/>
    <n v="0"/>
    <n v="0"/>
    <n v="0"/>
    <n v="1757350"/>
  </r>
  <r>
    <x v="0"/>
    <s v="673f528c15b1bd66e060f35f1fd4bd1e32c72ff0305ae74a942ca48e619e82a310fada627a8d370e0375d47632f88077"/>
    <n v="46"/>
    <d v="2025-05-07T00:00:00"/>
    <n v="901907732"/>
    <s v="TECNOTICS SAS"/>
    <x v="3"/>
    <x v="3"/>
    <n v="1650000"/>
    <n v="313500"/>
    <n v="0"/>
    <n v="0"/>
    <n v="0"/>
    <n v="1963500"/>
  </r>
  <r>
    <x v="0"/>
    <s v="d9bb3d5803d01a1fae13bee96f025721895d96fe2c55b4ea1993893339599a244ad97cd090e96086eadcf98e596ea0eb"/>
    <n v="47"/>
    <d v="2025-05-07T00:00:00"/>
    <n v="901907732"/>
    <s v="TECNOTICS SAS"/>
    <x v="3"/>
    <x v="3"/>
    <n v="2128439"/>
    <n v="278877.06"/>
    <n v="0"/>
    <n v="0"/>
    <n v="0"/>
    <n v="2407316.06"/>
  </r>
  <r>
    <x v="0"/>
    <s v="b63cc0b977c6983d13b921e34aa9e284dd41b364a1c7c9f5a63e4396c043294d15fd512e18d5a7d0231afd5e81c43e0f"/>
    <n v="48"/>
    <d v="2025-05-07T00:00:00"/>
    <n v="901907732"/>
    <s v="TECNOTICS SAS"/>
    <x v="20"/>
    <x v="20"/>
    <n v="903072"/>
    <n v="0"/>
    <n v="0"/>
    <n v="0"/>
    <n v="0"/>
    <n v="903072"/>
  </r>
  <r>
    <x v="0"/>
    <s v="12f50ad310667c00066888a18d0956f22f470e772e8423f107eaeabe756d3e9ca172b8187a77545b056d18faedbcaf92"/>
    <n v="49"/>
    <d v="2025-05-07T00:00:00"/>
    <n v="901907732"/>
    <s v="TECNOTICS SAS"/>
    <x v="17"/>
    <x v="17"/>
    <n v="5780978"/>
    <n v="0"/>
    <n v="0"/>
    <n v="0"/>
    <n v="0"/>
    <n v="5780978"/>
  </r>
  <r>
    <x v="0"/>
    <s v="327c53fd77328675814f1881b7f2984f22cd0b3b63f26b28b3229bfdeec8dd42c540d07338cbb95cdcf43e819e297cda"/>
    <n v="50"/>
    <d v="2025-05-07T00:00:00"/>
    <n v="901907732"/>
    <s v="TECNOTICS SAS"/>
    <x v="17"/>
    <x v="17"/>
    <n v="1684600"/>
    <n v="0"/>
    <n v="0"/>
    <n v="0"/>
    <n v="0"/>
    <n v="1684600"/>
  </r>
  <r>
    <x v="0"/>
    <s v="906ac52eea9b60ae1433e19d67f7980c0436a6a9878a59aa4bfff129341bbf74e6db9cf4b99f89e58f16d0eadba86252"/>
    <n v="51"/>
    <d v="2025-05-07T00:00:00"/>
    <n v="901907732"/>
    <s v="TECNOTICS SAS"/>
    <x v="1"/>
    <x v="1"/>
    <n v="780000"/>
    <n v="0"/>
    <n v="0"/>
    <n v="0"/>
    <n v="0"/>
    <n v="780000"/>
  </r>
  <r>
    <x v="0"/>
    <s v="db6caa3a56c2c253d8a9f146723f07ecca4552e5b95a5826a481fa5029de25c3a84caea1a1550bf68128af8fa7fb09d0"/>
    <n v="52"/>
    <d v="2025-05-07T00:00:00"/>
    <n v="901907732"/>
    <s v="TECNOTICS SAS"/>
    <x v="1"/>
    <x v="1"/>
    <n v="780000"/>
    <n v="0"/>
    <n v="0"/>
    <n v="0"/>
    <n v="0"/>
    <n v="780000"/>
  </r>
  <r>
    <x v="0"/>
    <s v="530871df9b884edc1a80dddcfa246e879c788cc35d5c0ab618c502c21693bb4b62a67820d4134db63010a54cd3df8441"/>
    <n v="53"/>
    <d v="2025-05-07T00:00:00"/>
    <n v="901907732"/>
    <s v="TECNOTICS SAS"/>
    <x v="1"/>
    <x v="1"/>
    <n v="200000"/>
    <n v="0"/>
    <n v="0"/>
    <n v="0"/>
    <n v="0"/>
    <n v="200000"/>
  </r>
  <r>
    <x v="0"/>
    <s v="3683494c4951f59c71f25d60a95a5111801ffe194231c3d32c858897d6491037bb4757c88cdced79f3f7d748ef473b81"/>
    <n v="54"/>
    <d v="2025-05-07T00:00:00"/>
    <n v="901907732"/>
    <s v="TECNOTICS SAS"/>
    <x v="16"/>
    <x v="16"/>
    <n v="1729962"/>
    <n v="0"/>
    <n v="0"/>
    <n v="0"/>
    <n v="0"/>
    <n v="1729962"/>
  </r>
  <r>
    <x v="0"/>
    <s v="5941090c391bf2afb511d3b68f63765a860735a203fb4f619d30cd1669a9fae7e6c81fc4c1da96f23c1fccfd0cbcb41e"/>
    <n v="55"/>
    <d v="2025-05-07T00:00:00"/>
    <n v="901907732"/>
    <s v="TECNOTICS SAS"/>
    <x v="16"/>
    <x v="16"/>
    <n v="2105000"/>
    <n v="399950"/>
    <n v="0"/>
    <n v="0"/>
    <n v="0"/>
    <n v="2504950"/>
  </r>
  <r>
    <x v="0"/>
    <s v="a20c3f80551bfb0564e54f37023d8a3b9316d7653a6d5149061bb8e2b0c9bb3469afb21c1afd7d0553a7e19f4f456f2d"/>
    <n v="56"/>
    <d v="2025-05-07T00:00:00"/>
    <n v="901907732"/>
    <s v="TECNOTICS SAS"/>
    <x v="16"/>
    <x v="16"/>
    <n v="800000"/>
    <n v="152000"/>
    <n v="0"/>
    <n v="0"/>
    <n v="0"/>
    <n v="952000"/>
  </r>
  <r>
    <x v="0"/>
    <s v="2a7a69441e8332fbb6b65f5c3179a20f02028e330bc141d79b80dfcec1b4971feb5794eb0152e4ae05b5b185d5cf0474"/>
    <n v="57"/>
    <d v="2025-05-07T00:00:00"/>
    <n v="901907732"/>
    <s v="TECNOTICS SAS"/>
    <x v="15"/>
    <x v="15"/>
    <n v="1950000"/>
    <n v="370500"/>
    <n v="0"/>
    <n v="0"/>
    <n v="0"/>
    <n v="2320500"/>
  </r>
  <r>
    <x v="0"/>
    <s v="53621192086109c45d2ae5de90054a790911a0085a0f8b221497ab29f8626b80311ab310c68b7be31a5066d6972ca208"/>
    <n v="58"/>
    <d v="2025-05-07T00:00:00"/>
    <n v="901907732"/>
    <s v="TECNOTICS SAS"/>
    <x v="9"/>
    <x v="9"/>
    <n v="1816750"/>
    <n v="218595"/>
    <n v="0"/>
    <n v="0"/>
    <n v="0"/>
    <n v="2035345"/>
  </r>
  <r>
    <x v="0"/>
    <s v="0819670a329bcc70631ffde73b7ec349f4d1e4d1894802a4c1f1d7db3a32f3d5dc438136ce3e38041549885fae8f22bc"/>
    <n v="59"/>
    <d v="2025-05-08T00:00:00"/>
    <n v="901907732"/>
    <s v="TECNOTICS SAS"/>
    <x v="11"/>
    <x v="11"/>
    <n v="191192"/>
    <n v="0"/>
    <n v="0"/>
    <n v="0"/>
    <n v="0"/>
    <n v="191192"/>
  </r>
  <r>
    <x v="0"/>
    <s v="08ed10b5c6a17f929e41be9eb3852eef6c06c34cb55105f7af74d1cfe941da5a8ceb3d40cd5e88b117b9bb577ceb62b1"/>
    <n v="60"/>
    <d v="2025-05-08T00:00:00"/>
    <n v="901907732"/>
    <s v="TECNOTICS SAS"/>
    <x v="12"/>
    <x v="12"/>
    <n v="868854"/>
    <n v="0"/>
    <n v="0"/>
    <n v="0"/>
    <n v="0"/>
    <n v="868854"/>
  </r>
  <r>
    <x v="0"/>
    <s v="4a1d0915902bd437c43573030822f150cbd8ff4118e61d425ba9e590c623782910519475aac0c9abbf932428f478a184"/>
    <n v="61"/>
    <d v="2025-05-08T00:00:00"/>
    <n v="901907732"/>
    <s v="TECNOTICS SAS"/>
    <x v="6"/>
    <x v="6"/>
    <n v="432627"/>
    <n v="0"/>
    <n v="0"/>
    <n v="0"/>
    <n v="0"/>
    <n v="432627"/>
  </r>
  <r>
    <x v="0"/>
    <s v="da1a97fb90e0ef5809bcdb92ea815bc9c21dbd909b77cf53c25604711e36c7a6ae9ed6926e313741e3d2f36174a22440"/>
    <n v="62"/>
    <d v="2025-05-08T00:00:00"/>
    <n v="901907732"/>
    <s v="TECNOTICS SAS"/>
    <x v="7"/>
    <x v="7"/>
    <n v="367851"/>
    <n v="0"/>
    <n v="0"/>
    <n v="0"/>
    <n v="0"/>
    <n v="367851"/>
  </r>
  <r>
    <x v="0"/>
    <s v="f67fd11694aac40319e2922d3b2f6788186c0f2fc67905c8cdd75b5753b3e4a3352dffb256436f9897716fb08729f97a"/>
    <n v="63"/>
    <d v="2025-05-08T00:00:00"/>
    <n v="901907732"/>
    <s v="TECNOTICS SAS"/>
    <x v="4"/>
    <x v="4"/>
    <n v="1128840"/>
    <n v="0"/>
    <n v="0"/>
    <n v="0"/>
    <n v="0"/>
    <n v="1128840"/>
  </r>
  <r>
    <x v="0"/>
    <s v="8e0b69c8d2e5e781daf361671cc6af21d891161e583f6b63edbdd91480bcc900eebd91554587daf1a6a2d27ca6dd9167"/>
    <n v="64"/>
    <d v="2025-05-08T00:00:00"/>
    <n v="901907732"/>
    <s v="TECNOTICS SAS"/>
    <x v="2"/>
    <x v="2"/>
    <n v="550000"/>
    <n v="104500"/>
    <n v="0"/>
    <n v="0"/>
    <n v="0"/>
    <n v="654500"/>
  </r>
  <r>
    <x v="0"/>
    <s v="e6d2734321967c379c72290808762f7e39c1e21f159aaec3087340bd85e0914a25343f190998b3b4f618cca585579be3"/>
    <n v="65"/>
    <d v="2025-05-08T00:00:00"/>
    <n v="901907732"/>
    <s v="TECNOTICS SAS"/>
    <x v="0"/>
    <x v="0"/>
    <n v="550000"/>
    <n v="104500"/>
    <n v="0"/>
    <n v="0"/>
    <n v="0"/>
    <n v="654500"/>
  </r>
  <r>
    <x v="0"/>
    <s v="27afaddc513166c84b743909c61b3b9d680370ebcd41db7fb5d342f61a845c99b67797787ac76b1c3f414856931052e5"/>
    <n v="66"/>
    <d v="2025-05-08T00:00:00"/>
    <n v="901907732"/>
    <s v="TECNOTICS SAS"/>
    <x v="14"/>
    <x v="14"/>
    <n v="2085282"/>
    <n v="171000"/>
    <n v="0"/>
    <n v="0"/>
    <n v="0"/>
    <n v="2256282"/>
  </r>
  <r>
    <x v="0"/>
    <s v="7156c0b5670d6b3d092f4410f288cc82535047e9932448733a80295f5ea5c882157ad85f3a2a3a5ec43f28bedfd04d2c"/>
    <n v="67"/>
    <d v="2025-05-08T00:00:00"/>
    <n v="901907732"/>
    <s v="TECNOTICS SAS"/>
    <x v="14"/>
    <x v="14"/>
    <n v="900000"/>
    <n v="171000"/>
    <n v="0"/>
    <n v="0"/>
    <n v="0"/>
    <n v="1071000"/>
  </r>
  <r>
    <x v="0"/>
    <s v="6a18a70da38a20597b226eefc6e19d096d4437c380654d8f3ab0ccd8bcc0fa516824729d3a6db22fb09821b855bf7b19"/>
    <n v="68"/>
    <d v="2025-05-08T00:00:00"/>
    <n v="901907732"/>
    <s v="TECNOTICS SAS"/>
    <x v="3"/>
    <x v="3"/>
    <n v="2128493"/>
    <n v="0"/>
    <n v="0"/>
    <n v="0"/>
    <n v="0"/>
    <n v="2128493"/>
  </r>
  <r>
    <x v="0"/>
    <s v="78dd530d8ab8dd08d9a2296dc4355c71d352d2b868c6a78c28420cac711e22ed7b6804b26a7137ed631785e00576464c"/>
    <n v="69"/>
    <d v="2025-05-16T00:00:00"/>
    <n v="901907732"/>
    <s v="TECNOTICS SAS"/>
    <x v="10"/>
    <x v="10"/>
    <n v="1980000"/>
    <n v="376200"/>
    <n v="0"/>
    <n v="0"/>
    <n v="0"/>
    <n v="2356200"/>
  </r>
  <r>
    <x v="0"/>
    <s v="11f5ede4753524605e1064ed54383165bf4347e76839e7be806996e59ef8ce5d5ae873367d2e0bcbb10af92998e45ce9"/>
    <n v="70"/>
    <d v="2025-05-17T00:00:00"/>
    <n v="901907732"/>
    <s v="TECNOTICS SAS"/>
    <x v="17"/>
    <x v="17"/>
    <n v="4160000"/>
    <n v="0"/>
    <n v="0"/>
    <n v="0"/>
    <n v="0"/>
    <n v="4160000"/>
  </r>
  <r>
    <x v="0"/>
    <s v="46b28884976016777cc6a1a97091454864022fb353b17b172c8f23a9f7a69d81fda210b722fd93aa919fc3b2a79a8eaa"/>
    <n v="71"/>
    <d v="2025-05-21T00:00:00"/>
    <n v="901907732"/>
    <s v="TECNOTICS SAS"/>
    <x v="1"/>
    <x v="1"/>
    <n v="580000"/>
    <n v="0"/>
    <n v="0"/>
    <n v="0"/>
    <n v="0"/>
    <n v="580000"/>
  </r>
  <r>
    <x v="0"/>
    <s v="8fb40dbaeff1f25b9a32703c1249c3e5af985bbd604dbb03d734479d53587f4a7641b1b2b1543c5f960218244cc33995"/>
    <n v="72"/>
    <d v="2025-06-04T00:00:00"/>
    <n v="901907732"/>
    <s v="TECNOTICS SAS"/>
    <x v="3"/>
    <x v="3"/>
    <n v="2600000"/>
    <n v="494000"/>
    <n v="0"/>
    <n v="0"/>
    <n v="0"/>
    <n v="3094000"/>
  </r>
  <r>
    <x v="0"/>
    <s v="1cdf8f1ca3c11873425578cf5339a5fba8997a028deedfd1e001116417701cdada0b8107a9e8542078cf8e7b65e2b7b8"/>
    <n v="73"/>
    <d v="2025-06-04T00:00:00"/>
    <n v="901907732"/>
    <s v="TECNOTICS SAS"/>
    <x v="3"/>
    <x v="3"/>
    <n v="2128273"/>
    <n v="0"/>
    <n v="0"/>
    <n v="0"/>
    <n v="0"/>
    <n v="2128273"/>
  </r>
  <r>
    <x v="0"/>
    <s v="7a21b4e138dcc92bac40af351feffc435b74c630ce5a83d8ad2bf4ee0f19dc0e323bf41a2336fa1e76015ad830f34bf6"/>
    <n v="74"/>
    <d v="2025-06-04T00:00:00"/>
    <n v="901907732"/>
    <s v="TECNOTICS SAS"/>
    <x v="9"/>
    <x v="9"/>
    <n v="1816250"/>
    <n v="218500"/>
    <n v="0"/>
    <n v="0"/>
    <n v="0"/>
    <n v="2034750"/>
  </r>
  <r>
    <x v="0"/>
    <s v="864886d607a69d9937c8f682fc1e6aa84c66f56f4dd11ab90029dac4911a564f07ef761a648739ef894a4ebba5ee643d"/>
    <n v="75"/>
    <d v="2025-06-04T00:00:00"/>
    <n v="901907732"/>
    <s v="TECNOTICS SAS"/>
    <x v="20"/>
    <x v="20"/>
    <n v="903072"/>
    <n v="0"/>
    <n v="0"/>
    <n v="0"/>
    <n v="0"/>
    <n v="903072"/>
  </r>
  <r>
    <x v="0"/>
    <s v="e1d462de6b3daddf5fa3078103280f66606a5d38e279edadf4aaa67d006c8c1cc5a76ea6a8d8f7bb4190452aa65b2706"/>
    <n v="76"/>
    <d v="2025-06-04T00:00:00"/>
    <n v="901907732"/>
    <s v="TECNOTICS SAS"/>
    <x v="17"/>
    <x v="17"/>
    <n v="5823680"/>
    <n v="0"/>
    <n v="0"/>
    <n v="0"/>
    <n v="0"/>
    <n v="5823680"/>
  </r>
  <r>
    <x v="0"/>
    <s v="3d0319d9d181f706fbe1267666fd336d5b22d9531aad0cac9b66f55ec76a7363a3da6797a82d3c7659edc06f2190a84a"/>
    <n v="77"/>
    <d v="2025-06-04T00:00:00"/>
    <n v="901907732"/>
    <s v="TECNOTICS SAS"/>
    <x v="17"/>
    <x v="17"/>
    <n v="1984600"/>
    <n v="0"/>
    <n v="0"/>
    <n v="0"/>
    <n v="0"/>
    <n v="1984600"/>
  </r>
  <r>
    <x v="0"/>
    <s v="bd93b7ff0caee7cd7f268d50964834471083cb129e5a7a15d38a4a672b0d1933e9691af2b205ad9baad1a92f9d796cb5"/>
    <n v="78"/>
    <d v="2025-06-04T00:00:00"/>
    <n v="901907732"/>
    <s v="TECNOTICS SAS"/>
    <x v="1"/>
    <x v="1"/>
    <n v="200000"/>
    <n v="0"/>
    <n v="0"/>
    <n v="0"/>
    <n v="0"/>
    <n v="200000"/>
  </r>
  <r>
    <x v="0"/>
    <s v="74e7d83bb3c1bfdc518ce0b3bcd2ed588f3d0e2e0fb99f2bb9df0d162b358e9a04bc7e8cc483460a9cd009e700dc25e1"/>
    <n v="79"/>
    <d v="2025-06-04T00:00:00"/>
    <n v="901907732"/>
    <s v="TECNOTICS SAS"/>
    <x v="16"/>
    <x v="16"/>
    <n v="1729962"/>
    <n v="0"/>
    <n v="0"/>
    <n v="0"/>
    <n v="0"/>
    <n v="1729962"/>
  </r>
  <r>
    <x v="0"/>
    <s v="c67a635e391f057f7bb3470a139eb58b05e38330177991a49bf079dc7d34ff5f9499bc3b10f054ccdc977e1e5da3d871"/>
    <n v="80"/>
    <d v="2025-06-04T00:00:00"/>
    <n v="901907732"/>
    <s v="TECNOTICS SAS"/>
    <x v="16"/>
    <x v="16"/>
    <n v="2105000"/>
    <n v="399950"/>
    <n v="0"/>
    <n v="0"/>
    <n v="0"/>
    <n v="2504950"/>
  </r>
  <r>
    <x v="0"/>
    <s v="4c479f56ec78124a5fe58e8484f07a55f838b8ac5af01419516bdbd564216ecffd172ba76e6ccb919782376f89d2c097"/>
    <n v="81"/>
    <d v="2025-06-04T00:00:00"/>
    <n v="901907732"/>
    <s v="TECNOTICS SAS"/>
    <x v="15"/>
    <x v="15"/>
    <n v="1950000"/>
    <n v="370500"/>
    <n v="0"/>
    <n v="0"/>
    <n v="0"/>
    <n v="2320500"/>
  </r>
  <r>
    <x v="0"/>
    <s v="8cfdebd8c9ff23026b2c3e2b8f0f13227230f49ec964ec2bbc29510d654b4c9a0bf02e4409718b066e0422dcf5e1fa22"/>
    <n v="82"/>
    <d v="2025-06-04T00:00:00"/>
    <n v="901907732"/>
    <s v="TECNOTICS SAS"/>
    <x v="11"/>
    <x v="11"/>
    <n v="191192"/>
    <n v="0"/>
    <n v="0"/>
    <n v="0"/>
    <n v="0"/>
    <n v="191192"/>
  </r>
  <r>
    <x v="0"/>
    <s v="a2b47320143752a7ec786a515ede5b48f10560e881edc5786d9495fdcc310f6c3fc45785bbdb275aeadfda8ea1a67b78"/>
    <n v="83"/>
    <d v="2025-06-04T00:00:00"/>
    <n v="901907732"/>
    <s v="TECNOTICS SAS"/>
    <x v="12"/>
    <x v="12"/>
    <n v="868854"/>
    <n v="0"/>
    <n v="0"/>
    <n v="0"/>
    <n v="0"/>
    <n v="868854"/>
  </r>
  <r>
    <x v="0"/>
    <s v="68769a8416e5689e3cfa03f7848c2f03af7fba4b3015cf95b8a040e8f1cf4f1357e22be66d01d03147fad44c6c969a87"/>
    <n v="84"/>
    <d v="2025-06-04T00:00:00"/>
    <n v="901907732"/>
    <s v="TECNOTICS SAS"/>
    <x v="6"/>
    <x v="6"/>
    <n v="432627"/>
    <n v="0"/>
    <n v="0"/>
    <n v="0"/>
    <n v="0"/>
    <n v="432627"/>
  </r>
  <r>
    <x v="0"/>
    <s v="cff14056a7117a18b50929a7f90595720c4e3b864a435aec2bcf46a184f476d050e93305fae2b94f861d5969b06ffe98"/>
    <n v="85"/>
    <d v="2025-06-04T00:00:00"/>
    <n v="901907732"/>
    <s v="TECNOTICS SAS"/>
    <x v="7"/>
    <x v="7"/>
    <n v="476587"/>
    <n v="0"/>
    <n v="0"/>
    <n v="0"/>
    <n v="0"/>
    <n v="476587"/>
  </r>
  <r>
    <x v="0"/>
    <s v="d6e7d51b078c3a154e05798b680b8b5fcb98d0cdc77d92093cf28beacbc5c0b228e99f9eead100cf034d763c10352e92"/>
    <n v="86"/>
    <d v="2025-06-04T00:00:00"/>
    <n v="901907732"/>
    <s v="TECNOTICS SAS"/>
    <x v="4"/>
    <x v="4"/>
    <n v="1128840"/>
    <n v="0"/>
    <n v="0"/>
    <n v="0"/>
    <n v="0"/>
    <n v="1128840"/>
  </r>
  <r>
    <x v="0"/>
    <s v="9a55ae38f5de738e38f0d5cf351231d6d62060e80ad6ab6261a69d8224ed727fee911d6112439e055819a5e352657346"/>
    <n v="87"/>
    <d v="2025-06-04T00:00:00"/>
    <n v="901907732"/>
    <s v="TECNOTICS SAS"/>
    <x v="2"/>
    <x v="2"/>
    <n v="654500"/>
    <n v="124355"/>
    <n v="0"/>
    <n v="0"/>
    <n v="0"/>
    <n v="778855"/>
  </r>
  <r>
    <x v="0"/>
    <s v="f9d7debb6f0c30b3024ed6b79b5dfde933f600ceff2dde9b6a2515e0ef76c0168a1d7751b4dbcd3e28d44ad69564dd6b"/>
    <n v="88"/>
    <d v="2025-06-04T00:00:00"/>
    <n v="901907732"/>
    <s v="TECNOTICS SAS"/>
    <x v="0"/>
    <x v="0"/>
    <n v="550000"/>
    <n v="104500"/>
    <n v="0"/>
    <n v="0"/>
    <n v="0"/>
    <n v="654500"/>
  </r>
  <r>
    <x v="0"/>
    <s v="6687a852b48a4c1b91f584e28b2855b4fd92b218e81935e82509fd37bea7b5b8f346f3676c1efa0dcb324028bc754919"/>
    <n v="89"/>
    <d v="2025-06-04T00:00:00"/>
    <n v="901907732"/>
    <s v="TECNOTICS SAS"/>
    <x v="14"/>
    <x v="14"/>
    <n v="2085282"/>
    <n v="171000"/>
    <n v="0"/>
    <n v="0"/>
    <n v="0"/>
    <n v="2256282"/>
  </r>
  <r>
    <x v="0"/>
    <s v="e05b130f0eaa1e8f9b4c0200dc561c0a6461d3a2e4f4798a74ef8284a2f677db406c340b70a20ff767eb6648a54269c1"/>
    <n v="90"/>
    <d v="2025-06-04T00:00:00"/>
    <n v="901907732"/>
    <s v="TECNOTICS SAS"/>
    <x v="10"/>
    <x v="10"/>
    <n v="900000"/>
    <n v="171000"/>
    <n v="0"/>
    <n v="0"/>
    <n v="0"/>
    <n v="1071000"/>
  </r>
  <r>
    <x v="0"/>
    <s v="9ddde26cace5f25f80a1465fb812fc32daf052bba7182a186734917d78a252a37c52026dfdd62f0321d7365f2a9379af"/>
    <n v="91"/>
    <d v="2025-06-04T00:00:00"/>
    <n v="901907732"/>
    <s v="TECNOTICS SAS"/>
    <x v="10"/>
    <x v="10"/>
    <n v="900000"/>
    <n v="171000"/>
    <n v="0"/>
    <n v="0"/>
    <n v="0"/>
    <n v="1071000"/>
  </r>
  <r>
    <x v="0"/>
    <s v="83e7db22f099ec45c85de1171b687b30d3c7563b44d6cf811b9521d090d2d2526ec7994f7585b870b7b66ecc37676322"/>
    <n v="92"/>
    <d v="2025-06-04T00:00:00"/>
    <n v="901907732"/>
    <s v="TECNOTICS SAS"/>
    <x v="22"/>
    <x v="22"/>
    <n v="1800000"/>
    <n v="342000"/>
    <n v="0"/>
    <n v="0"/>
    <n v="0"/>
    <n v="2142000"/>
  </r>
  <r>
    <x v="0"/>
    <s v="58617049ca5f28ed7b2c208d9e8dc872a2024fedb84fe2457e4468e389eeede76eb88b43dab3d0ff49b96d624f373797"/>
    <n v="93"/>
    <d v="2025-06-04T00:00:00"/>
    <n v="901907732"/>
    <s v="TECNOTICS SAS"/>
    <x v="23"/>
    <x v="23"/>
    <n v="1468240"/>
    <n v="0"/>
    <n v="0"/>
    <n v="0"/>
    <n v="0"/>
    <n v="1468240"/>
  </r>
  <r>
    <x v="0"/>
    <s v="8fcd215d593f49587cbe04cef3dfafde6c64185a1b9c355fdb2d4c9837382af49704e704e71e38e4dbac5584906c853c"/>
    <n v="94"/>
    <d v="2025-06-04T00:00:00"/>
    <n v="901907732"/>
    <s v="TECNOTICS SAS"/>
    <x v="24"/>
    <x v="24"/>
    <n v="2408828"/>
    <n v="0"/>
    <n v="0"/>
    <n v="0"/>
    <n v="0"/>
    <n v="2408828"/>
  </r>
  <r>
    <x v="0"/>
    <s v="bad5f7c88af7a7269f32c62fe7b59be979318f1521e550b1085265016439beacedb5938c2960e36a180b929a51286113"/>
    <n v="95"/>
    <d v="2025-06-09T00:00:00"/>
    <n v="901907732"/>
    <s v="TECNOTICS SAS"/>
    <x v="13"/>
    <x v="13"/>
    <n v="380000"/>
    <n v="72200"/>
    <n v="0"/>
    <n v="0"/>
    <n v="0"/>
    <n v="452200"/>
  </r>
  <r>
    <x v="0"/>
    <s v="e72381272ad67f84217fb95c2afe7653f5828f3ba1a72fc230d55f12ddef1dfb2f0fed721ecb0d8cb43bfe3950b34e29"/>
    <n v="96"/>
    <d v="2025-06-09T00:00:00"/>
    <n v="901907732"/>
    <s v="TECNOTICS SAS"/>
    <x v="25"/>
    <x v="25"/>
    <n v="1000000"/>
    <n v="0"/>
    <n v="0"/>
    <n v="0"/>
    <n v="0"/>
    <n v="1000000"/>
  </r>
  <r>
    <x v="0"/>
    <s v="78435bfc9d7eaae36fcf4216fcd14cb7dd8e5bc790d607c4cd2c43ab99cb03a491f5c6bc76634ea1c867d158e3521bab"/>
    <n v="97"/>
    <d v="2025-06-12T00:00:00"/>
    <n v="901907732"/>
    <s v="TECNOTICS SAS"/>
    <x v="2"/>
    <x v="2"/>
    <n v="1894000"/>
    <n v="179360"/>
    <n v="0"/>
    <n v="0"/>
    <n v="0"/>
    <n v="2073360"/>
  </r>
  <r>
    <x v="0"/>
    <s v="bbb2eddb82c50b7de52c51611558889a95173415a6401d6a751874a550505dd606a8c3c9f137066c74baafe98229df7b"/>
    <n v="98"/>
    <d v="2025-06-12T00:00:00"/>
    <n v="901907732"/>
    <s v="TECNOTICS SAS"/>
    <x v="2"/>
    <x v="2"/>
    <n v="35294.120000000003"/>
    <n v="6705.88"/>
    <n v="0"/>
    <n v="0"/>
    <n v="0"/>
    <n v="42000"/>
  </r>
  <r>
    <x v="0"/>
    <s v="818ea5a8881219814460494215dc9d9bc14276db214d1c839b04465f03abd5dc92a914250c566d8ff0f0358dd682463c"/>
    <n v="99"/>
    <d v="2025-06-12T00:00:00"/>
    <n v="901907732"/>
    <s v="TECNOTICS SAS"/>
    <x v="9"/>
    <x v="9"/>
    <n v="5834058.8200000003"/>
    <n v="404141.18"/>
    <n v="0"/>
    <n v="0"/>
    <n v="0"/>
    <n v="6238200"/>
  </r>
  <r>
    <x v="0"/>
    <s v="b189f26cecd64166f402f9fe4306ebf4477f123b1f7b9a252c2243f45b0462fe5844cc13088a73e14c0dc6488f9972a8"/>
    <n v="100"/>
    <d v="2025-06-17T00:00:00"/>
    <n v="901907732"/>
    <s v="TECNOTICS SAS"/>
    <x v="26"/>
    <x v="26"/>
    <n v="681512.61"/>
    <n v="53487.39"/>
    <n v="0"/>
    <n v="0"/>
    <n v="0"/>
    <n v="735000"/>
  </r>
  <r>
    <x v="0"/>
    <s v="34900d485df5ab3b6f4eaa7adb5461e28f617c12a7b4f6bfbe2b16aaaf9b8297a88fbba444a340577bada0c913008c77"/>
    <n v="101"/>
    <d v="2025-06-17T00:00:00"/>
    <n v="901907732"/>
    <s v="TECNOTICS SAS"/>
    <x v="27"/>
    <x v="27"/>
    <n v="620000"/>
    <n v="0"/>
    <n v="0"/>
    <n v="0"/>
    <n v="0"/>
    <n v="620000"/>
  </r>
  <r>
    <x v="0"/>
    <s v="c7234dc789575636aff0fe3c72c555285c9b9421d461d13a7ec2b40fd633c612300dfd8b27500294f160a45236900a95"/>
    <n v="102"/>
    <d v="2025-06-19T00:00:00"/>
    <n v="901907732"/>
    <s v="TECNOTICS SAS"/>
    <x v="15"/>
    <x v="15"/>
    <n v="242400"/>
    <n v="46056"/>
    <n v="0"/>
    <n v="0"/>
    <n v="0"/>
    <n v="288456"/>
  </r>
  <r>
    <x v="0"/>
    <s v="68cda403eeedc9473318dcc24b63d5cdaae72a93669117d1a626c04f35ab1b5c6546eba12d0234acb277b831edc1bda9"/>
    <n v="103"/>
    <d v="2025-06-19T00:00:00"/>
    <n v="901907732"/>
    <s v="TECNOTICS SAS"/>
    <x v="15"/>
    <x v="15"/>
    <n v="180000"/>
    <n v="34200"/>
    <n v="0"/>
    <n v="0"/>
    <n v="0"/>
    <n v="214200"/>
  </r>
  <r>
    <x v="0"/>
    <s v="f51d56bc2335801e11cb5b82836c297b878faed183f022fb99b30c22fb67db121a1969daf4e12cbf6b4a0c432d90785c"/>
    <n v="104"/>
    <d v="2025-06-19T00:00:00"/>
    <n v="901907732"/>
    <s v="TECNOTICS SAS"/>
    <x v="10"/>
    <x v="10"/>
    <n v="240000"/>
    <n v="45600"/>
    <n v="0"/>
    <n v="0"/>
    <n v="0"/>
    <n v="285600"/>
  </r>
  <r>
    <x v="0"/>
    <s v="f7eddf7925245774596fcc95f7a7feba0e49282ef3ecae1b4d145005ece09d0493a02deece80d26a9d6c4f44fc0ce0a1"/>
    <n v="105"/>
    <d v="2025-06-25T00:00:00"/>
    <n v="901907732"/>
    <s v="TECNOTICS SAS"/>
    <x v="28"/>
    <x v="28"/>
    <n v="545000"/>
    <n v="103550"/>
    <n v="0"/>
    <n v="0"/>
    <n v="0"/>
    <n v="648550"/>
  </r>
  <r>
    <x v="0"/>
    <s v="f9dd8b3ad3d8364ed6dfcc108895644395a167bc98bb865a63c6cccbb99913a6e325372135694ccfeb62f7d68caaea13"/>
    <n v="106"/>
    <d v="2025-07-01T00:00:00"/>
    <n v="901907732"/>
    <s v="TECNOTICS SAS"/>
    <x v="21"/>
    <x v="21"/>
    <n v="159000"/>
    <n v="0"/>
    <n v="0"/>
    <n v="0"/>
    <n v="0"/>
    <n v="159000"/>
  </r>
  <r>
    <x v="0"/>
    <s v="aa4b309f73d41447a57fa4a752a2afc799027b2e93427388599cf3ced485902bd94894592d7545aa1494f6b69bb6b321"/>
    <n v="107"/>
    <d v="2025-07-01T00:00:00"/>
    <n v="901907732"/>
    <s v="TECNOTICS SAS"/>
    <x v="3"/>
    <x v="3"/>
    <n v="2600000"/>
    <n v="494000"/>
    <n v="0"/>
    <n v="0"/>
    <n v="0"/>
    <n v="3094000"/>
  </r>
  <r>
    <x v="0"/>
    <s v="61d68331100b989fa4d8cde7fa199b46263eeaf4fe1d255b301f365b8d5c2fac39ab6a7376b0d8919f4b2ecdb0620c2c"/>
    <n v="108"/>
    <d v="2025-07-01T00:00:00"/>
    <n v="901907732"/>
    <s v="TECNOTICS SAS"/>
    <x v="9"/>
    <x v="9"/>
    <n v="2094250"/>
    <n v="218500"/>
    <n v="0"/>
    <n v="0"/>
    <n v="0"/>
    <n v="2312750"/>
  </r>
  <r>
    <x v="0"/>
    <s v="b5eb79b21ed0f1e67076aa39f698e1d08bdfcf36c0604fc4202704fd21bdeca31b494907cf0994519ec96d578b4db15c"/>
    <n v="109"/>
    <d v="2025-07-01T00:00:00"/>
    <n v="901907732"/>
    <s v="TECNOTICS SAS"/>
    <x v="20"/>
    <x v="20"/>
    <n v="903072"/>
    <n v="0"/>
    <n v="0"/>
    <n v="0"/>
    <n v="0"/>
    <n v="903072"/>
  </r>
  <r>
    <x v="0"/>
    <s v="1c643234ad97de305fb83987fc2c4b580392a29c655f98b103e9a68d9689c2d8f24f8297462a5582d3213b80238dded8"/>
    <n v="110"/>
    <d v="2025-07-01T00:00:00"/>
    <n v="901907732"/>
    <s v="TECNOTICS SAS"/>
    <x v="17"/>
    <x v="17"/>
    <n v="5823680"/>
    <n v="0"/>
    <n v="0"/>
    <n v="0"/>
    <n v="0"/>
    <n v="5823680"/>
  </r>
  <r>
    <x v="0"/>
    <s v="f07516a5344c88f7ee153ebd008544930d793ebe39aa5016c34737498b8da5ad995e575750cac386e5357f59dc5f36c1"/>
    <n v="111"/>
    <d v="2025-07-01T00:00:00"/>
    <n v="901907732"/>
    <s v="TECNOTICS SAS"/>
    <x v="17"/>
    <x v="17"/>
    <n v="1928563"/>
    <n v="0"/>
    <n v="0"/>
    <n v="0"/>
    <n v="0"/>
    <n v="1928563"/>
  </r>
  <r>
    <x v="0"/>
    <s v="f6822a5066ac641ef15ea4ec637c2045cd6fa8d8488d01fd7a5ef712b70a29d727181b324aa0300d0a6f20dc777cb11a"/>
    <n v="112"/>
    <d v="2025-07-01T00:00:00"/>
    <n v="901907732"/>
    <s v="TECNOTICS SAS"/>
    <x v="1"/>
    <x v="1"/>
    <n v="200000"/>
    <n v="0"/>
    <n v="0"/>
    <n v="0"/>
    <n v="0"/>
    <n v="200000"/>
  </r>
  <r>
    <x v="0"/>
    <s v="3bcd8d6a9a4e1216b7829efad36349c03373471ddbff10c47a9b1275d1e188c8eb7bec6d04e3de1636d3ec88498e55fd"/>
    <n v="113"/>
    <d v="2025-07-01T00:00:00"/>
    <n v="901907732"/>
    <s v="TECNOTICS SAS"/>
    <x v="16"/>
    <x v="16"/>
    <n v="1729962"/>
    <n v="0"/>
    <n v="0"/>
    <n v="0"/>
    <n v="0"/>
    <n v="1729962"/>
  </r>
  <r>
    <x v="0"/>
    <s v="5aac5d4ada2755e49a14506f53122cebf66abd360dc14ec3923a896f4f1c19f548b2925ce0d287d3db1ab9f60ec73022"/>
    <n v="114"/>
    <d v="2025-07-01T00:00:00"/>
    <n v="901907732"/>
    <s v="TECNOTICS SAS"/>
    <x v="16"/>
    <x v="16"/>
    <n v="2105000"/>
    <n v="399950"/>
    <n v="0"/>
    <n v="0"/>
    <n v="0"/>
    <n v="2504950"/>
  </r>
  <r>
    <x v="0"/>
    <s v="eee124f748c9937257cf344c92f20bb216b9c0be12962e8825efd4b10bb3ec0e12c8a0395726206f1fbcb32411986083"/>
    <n v="115"/>
    <d v="2025-07-01T00:00:00"/>
    <n v="901907732"/>
    <s v="TECNOTICS SAS"/>
    <x v="15"/>
    <x v="15"/>
    <n v="1950000"/>
    <n v="370500"/>
    <n v="0"/>
    <n v="0"/>
    <n v="0"/>
    <n v="2320500"/>
  </r>
  <r>
    <x v="0"/>
    <s v="da64f80422532badd9ecbbfa03c553f7a1bff64dc7a1bd15a2ce081ce63f05b1f1445bcec632462838cd683d276617f2"/>
    <n v="116"/>
    <d v="2025-07-01T00:00:00"/>
    <n v="901907732"/>
    <s v="TECNOTICS SAS"/>
    <x v="11"/>
    <x v="11"/>
    <n v="192485"/>
    <n v="0"/>
    <n v="0"/>
    <n v="0"/>
    <n v="0"/>
    <n v="192485"/>
  </r>
  <r>
    <x v="0"/>
    <s v="57ff3acd6f0f2420c0a83080341ecf8c52006c73eac1ea19eb1a78ab844ee611c8a1479722a9c3a41dae6194a89ea1d7"/>
    <n v="117"/>
    <d v="2025-07-01T00:00:00"/>
    <n v="901907732"/>
    <s v="TECNOTICS SAS"/>
    <x v="12"/>
    <x v="12"/>
    <n v="868854"/>
    <n v="0"/>
    <n v="0"/>
    <n v="0"/>
    <n v="0"/>
    <n v="868854"/>
  </r>
  <r>
    <x v="0"/>
    <s v="3686f1bb102c502cecc72c895dc6f02c3a8e0c01ab39b76de558cb41e1e90e22c8c755c275f75d40868478bcbdbae822"/>
    <n v="118"/>
    <d v="2025-07-01T00:00:00"/>
    <n v="901907732"/>
    <s v="TECNOTICS SAS"/>
    <x v="6"/>
    <x v="6"/>
    <n v="432627"/>
    <n v="0"/>
    <n v="0"/>
    <n v="0"/>
    <n v="0"/>
    <n v="432627"/>
  </r>
  <r>
    <x v="0"/>
    <s v="41c4893b65785916658349089676caea2c347677491758933a3b5d9d0e9e3e8324ba7abad37efedaf0e53d57d5d3c511"/>
    <n v="119"/>
    <d v="2025-07-01T00:00:00"/>
    <n v="901907732"/>
    <s v="TECNOTICS SAS"/>
    <x v="7"/>
    <x v="7"/>
    <n v="476575.00000000006"/>
    <n v="61972.68"/>
    <n v="0"/>
    <n v="0"/>
    <n v="0"/>
    <n v="538547.68000000005"/>
  </r>
  <r>
    <x v="0"/>
    <s v="d53772acdcf1cc5366456fa98ec0d12bdd3070e3957aa498343074adb99ee58ab8d933d301a21d7124489d21ffdfa473"/>
    <n v="120"/>
    <d v="2025-07-01T00:00:00"/>
    <n v="901907732"/>
    <s v="TECNOTICS SAS"/>
    <x v="4"/>
    <x v="4"/>
    <n v="1298166"/>
    <n v="0"/>
    <n v="0"/>
    <n v="0"/>
    <n v="0"/>
    <n v="1298166"/>
  </r>
  <r>
    <x v="0"/>
    <s v="f9317be93ea191d48fcb4ed2ce8206701d38244afa1e409c42065e14c2689b81d70566eea86f5bf526c4f90127f3bdf8"/>
    <n v="121"/>
    <d v="2025-07-01T00:00:00"/>
    <n v="901907732"/>
    <s v="TECNOTICS SAS"/>
    <x v="2"/>
    <x v="2"/>
    <n v="654500"/>
    <n v="124355"/>
    <n v="0"/>
    <n v="0"/>
    <n v="0"/>
    <n v="778855"/>
  </r>
  <r>
    <x v="0"/>
    <s v="c516c64bc307299df547a85a61cd5333bbdc4578c10296c92df29178dc067b128de923f668c473182d04ca32f5b8a3a4"/>
    <n v="122"/>
    <d v="2025-07-01T00:00:00"/>
    <n v="901907732"/>
    <s v="TECNOTICS SAS"/>
    <x v="0"/>
    <x v="0"/>
    <n v="550000"/>
    <n v="104500"/>
    <n v="0"/>
    <n v="0"/>
    <n v="0"/>
    <n v="654500"/>
  </r>
  <r>
    <x v="0"/>
    <s v="7be59fb600d35fac22f0d95eb8342a0dad206dd309dc4e4064cc99748e040feeb3f78035b5af83f4d6d2c1062c246696"/>
    <n v="123"/>
    <d v="2025-07-01T00:00:00"/>
    <n v="901907732"/>
    <s v="TECNOTICS SAS"/>
    <x v="14"/>
    <x v="14"/>
    <n v="2085282"/>
    <n v="171000"/>
    <n v="0"/>
    <n v="0"/>
    <n v="0"/>
    <n v="2256282"/>
  </r>
  <r>
    <x v="0"/>
    <s v="5e9fd1c0458025f1b3b27691664ffd8cc8cbf19c6d5a3f0ec0003701a906f92720805ef9bedbbbed32ac6a617554fb35"/>
    <n v="124"/>
    <d v="2025-07-01T00:00:00"/>
    <n v="901907732"/>
    <s v="TECNOTICS SAS"/>
    <x v="10"/>
    <x v="10"/>
    <n v="900000"/>
    <n v="171000"/>
    <n v="0"/>
    <n v="0"/>
    <n v="0"/>
    <n v="1071000"/>
  </r>
  <r>
    <x v="0"/>
    <s v="5df5cd33087bf437a64d1a15fc8d6721714f49d6434ba8554131d9a3f1caa943590adda6038b57a5c04deb096205ed73"/>
    <n v="125"/>
    <d v="2025-07-03T00:00:00"/>
    <n v="901907732"/>
    <s v="TECNOTICS SAS"/>
    <x v="29"/>
    <x v="29"/>
    <n v="2690000"/>
    <n v="0"/>
    <n v="0"/>
    <n v="0"/>
    <n v="0"/>
    <n v="2690000"/>
  </r>
  <r>
    <x v="0"/>
    <s v="9059afcba0a5bb68250cad844e8f19d4ee8b292b65b6360902e7e684cb5e8a6b20bfb1e0dd355c3c8e5a42cc4c6d540b"/>
    <n v="126"/>
    <d v="2025-07-11T00:00:00"/>
    <n v="901907732"/>
    <s v="TECNOTICS SAS"/>
    <x v="5"/>
    <x v="5"/>
    <n v="1492528"/>
    <n v="0"/>
    <n v="0"/>
    <n v="0"/>
    <n v="0"/>
    <n v="1492528"/>
  </r>
  <r>
    <x v="0"/>
    <s v="0a54e1c23aa783f0d3216ad649de26f694ff5acd96a9e91dbf5f2d65ff7231dfeba1d10cc94d3ebf5255109680bd83bb"/>
    <n v="127"/>
    <d v="2025-07-11T00:00:00"/>
    <n v="901907732"/>
    <s v="TECNOTICS SAS"/>
    <x v="5"/>
    <x v="5"/>
    <n v="311417"/>
    <n v="0"/>
    <n v="0"/>
    <n v="0"/>
    <n v="0"/>
    <n v="311417"/>
  </r>
  <r>
    <x v="0"/>
    <s v="4650b68e88a58e52bbb564506c0b400159e24c64218baa39c05d58e39f2174f9f66571db149c0aa171458d2a6640366a"/>
    <n v="128"/>
    <d v="2025-07-17T00:00:00"/>
    <n v="901907732"/>
    <s v="TECNOTICS SAS"/>
    <x v="13"/>
    <x v="13"/>
    <n v="210000"/>
    <n v="39900"/>
    <n v="0"/>
    <n v="0"/>
    <n v="0"/>
    <n v="249900"/>
  </r>
  <r>
    <x v="0"/>
    <s v="3691ef5d0b732203945dca9d346fcb82555a35158dd414c27edea26700927cae07f59715c47aa2f7c2091799a5ce340b"/>
    <n v="129"/>
    <d v="2025-07-17T00:00:00"/>
    <n v="901907732"/>
    <s v="TECNOTICS SAS"/>
    <x v="30"/>
    <x v="30"/>
    <n v="588919"/>
    <n v="0"/>
    <n v="0"/>
    <n v="0"/>
    <n v="0"/>
    <n v="588919"/>
  </r>
  <r>
    <x v="0"/>
    <s v="c347acb92f853a0cdeb483a361869df696bb8ebfb4564eab5ba1c0795bfb842a0e171239eded52cccdeb188adfa7b612"/>
    <n v="130"/>
    <d v="2025-07-18T00:00:00"/>
    <n v="901907732"/>
    <s v="TECNOTICS SAS"/>
    <x v="25"/>
    <x v="25"/>
    <n v="1120000"/>
    <n v="0"/>
    <n v="0"/>
    <n v="0"/>
    <n v="0"/>
    <n v="1120000"/>
  </r>
  <r>
    <x v="0"/>
    <s v="c3ec5c399a0d4c2dec6c0d3c17e69dd3813f50920780bdafe6000e124dbff3cc28eccb91123ae57682548f75140ad7ec"/>
    <n v="131"/>
    <d v="2025-07-18T00:00:00"/>
    <n v="901907732"/>
    <s v="TECNOTICS SAS"/>
    <x v="30"/>
    <x v="30"/>
    <n v="338919"/>
    <n v="23750"/>
    <n v="0"/>
    <n v="0"/>
    <n v="0"/>
    <n v="362669"/>
  </r>
  <r>
    <x v="0"/>
    <s v="cbed0cb92bb7eb306e64c1f374191dbbcbad5d723e5f7cba80fc0f83aa6ca61e10627c10863fbfea73cc03741744d7e2"/>
    <n v="132"/>
    <d v="2025-07-18T00:00:00"/>
    <n v="901907732"/>
    <s v="TECNOTICS SAS"/>
    <x v="30"/>
    <x v="30"/>
    <n v="297988"/>
    <n v="23750"/>
    <n v="0"/>
    <n v="0"/>
    <n v="0"/>
    <n v="321738"/>
  </r>
  <r>
    <x v="0"/>
    <s v="140054dfee6558c3da6a504586bfe5210f8c2df49d6e36056ff2b756b50224618914de52b1c2f664536903f6ec333da1"/>
    <n v="133"/>
    <d v="2025-07-22T00:00:00"/>
    <n v="901907732"/>
    <s v="TECNOTICS SAS"/>
    <x v="15"/>
    <x v="15"/>
    <n v="255000"/>
    <n v="48450"/>
    <n v="0"/>
    <n v="0"/>
    <n v="0"/>
    <n v="303450"/>
  </r>
  <r>
    <x v="0"/>
    <s v="2c74cf9c3cf71474b4f1cb67111c4944c853f6271c056bbf3efe2a585edbec12c44d48750fc89302771ab291bb3a8166"/>
    <n v="134"/>
    <d v="2025-07-30T00:00:00"/>
    <n v="901907732"/>
    <s v="TECNOTICS SAS"/>
    <x v="15"/>
    <x v="15"/>
    <n v="417600"/>
    <n v="79344"/>
    <n v="0"/>
    <n v="0"/>
    <n v="0"/>
    <n v="496944"/>
  </r>
  <r>
    <x v="0"/>
    <s v="da93a9f579da7c57b5ccc0148ed8eca966414781dbd8509a2621279f158780d5b38b19b850dc3afe40aeff8bd147668f"/>
    <n v="135"/>
    <d v="2025-07-30T00:00:00"/>
    <n v="901907732"/>
    <s v="TECNOTICS SAS"/>
    <x v="15"/>
    <x v="15"/>
    <n v="5643000"/>
    <n v="518320"/>
    <n v="0"/>
    <n v="0"/>
    <n v="0"/>
    <n v="6161320"/>
  </r>
  <r>
    <x v="0"/>
    <s v="f9697878de3ad5b2bb7353d1d16c8d7f9b35cdcf00456e6c207e852db022f39ffa266f347ee2750ae516478c2308b8a6"/>
    <n v="136"/>
    <d v="2025-08-01T00:00:00"/>
    <n v="901907732"/>
    <s v="TECNOTICS SAS"/>
    <x v="21"/>
    <x v="21"/>
    <n v="169326"/>
    <n v="0"/>
    <n v="0"/>
    <n v="0"/>
    <n v="0"/>
    <n v="169326"/>
  </r>
  <r>
    <x v="0"/>
    <s v="02166819df043d31a7bc9500fa90a10aed27f30ceab02061cb92f510b0ed611f3b94d680c13568c0ea9972d27c8b9541"/>
    <n v="137"/>
    <d v="2025-08-01T00:00:00"/>
    <n v="901907732"/>
    <s v="TECNOTICS SAS"/>
    <x v="3"/>
    <x v="3"/>
    <n v="2600000"/>
    <n v="494000"/>
    <n v="0"/>
    <n v="0"/>
    <n v="0"/>
    <n v="3094000"/>
  </r>
  <r>
    <x v="0"/>
    <s v="bb4c5ce47a0ce8faca20aea7e48e13a5dc1759d36df750f22a5990a5a8dd7fad91831ba5e7ed7dda0798cbe8d98a22c1"/>
    <n v="138"/>
    <d v="2025-08-01T00:00:00"/>
    <n v="901907732"/>
    <s v="TECNOTICS SAS"/>
    <x v="9"/>
    <x v="9"/>
    <n v="3110206"/>
    <n v="218500"/>
    <n v="0"/>
    <n v="0"/>
    <n v="0"/>
    <n v="3328706"/>
  </r>
  <r>
    <x v="0"/>
    <s v="2f69f99aabfdde8e953835da516dba480b0664ca90ff1060b111d96ba950f0d4a9a9e3cb803204e179be4f4eef099eb0"/>
    <n v="139"/>
    <d v="2025-08-01T00:00:00"/>
    <n v="901907732"/>
    <s v="TECNOTICS SAS"/>
    <x v="9"/>
    <x v="9"/>
    <n v="2094250"/>
    <n v="218500"/>
    <n v="0"/>
    <n v="0"/>
    <n v="0"/>
    <n v="2312750"/>
  </r>
  <r>
    <x v="0"/>
    <s v="75939e9052ee6bc6374293aea8c6dcc1f0ea55c37248af13f1dff60f0148141d777804ccd7c246600a6d1ca8f160e7f5"/>
    <n v="140"/>
    <d v="2025-08-01T00:00:00"/>
    <n v="901907732"/>
    <s v="TECNOTICS SAS"/>
    <x v="20"/>
    <x v="20"/>
    <n v="915872"/>
    <n v="0"/>
    <n v="0"/>
    <n v="0"/>
    <n v="0"/>
    <n v="915872"/>
  </r>
  <r>
    <x v="0"/>
    <s v="331bc2b17282b89411361f47a185de8b67625320a79ba7a19ddc3dae92b5f5141040b1ac65f43f6f6cd468f8833db30d"/>
    <n v="141"/>
    <d v="2025-08-01T00:00:00"/>
    <n v="901907732"/>
    <s v="TECNOTICS SAS"/>
    <x v="17"/>
    <x v="17"/>
    <n v="2135000"/>
    <n v="0"/>
    <n v="0"/>
    <n v="0"/>
    <n v="0"/>
    <n v="2135000"/>
  </r>
  <r>
    <x v="0"/>
    <s v="5c4fb9a6b72c2f6820761707a59892726b16d6854eab30677d2e62c5b2cd10015ba09578048c69d90ad72d9d52222e3e"/>
    <n v="142"/>
    <d v="2025-08-01T00:00:00"/>
    <n v="901907732"/>
    <s v="TECNOTICS SAS"/>
    <x v="1"/>
    <x v="1"/>
    <n v="200000"/>
    <n v="0"/>
    <n v="0"/>
    <n v="0"/>
    <n v="0"/>
    <n v="200000"/>
  </r>
  <r>
    <x v="0"/>
    <s v="984ccd2d0b1484d7d2249c57e50bed286bd8f4db7aaa91a09155872dd5451cc5971c464b1ec7092764d0cf653251428b"/>
    <n v="143"/>
    <d v="2025-08-01T00:00:00"/>
    <n v="901907732"/>
    <s v="TECNOTICS SAS"/>
    <x v="17"/>
    <x v="17"/>
    <n v="5930908"/>
    <n v="0"/>
    <n v="0"/>
    <n v="0"/>
    <n v="0"/>
    <n v="5930908"/>
  </r>
  <r>
    <x v="0"/>
    <s v="94a3523063214b31437b304d315577505a0eb654e2d4f2f8ae935a1f683d48ca65d199f650fa12520ebbb3544d0c1755"/>
    <n v="144"/>
    <d v="2025-08-01T00:00:00"/>
    <n v="901907732"/>
    <s v="TECNOTICS SAS"/>
    <x v="16"/>
    <x v="16"/>
    <n v="1729962"/>
    <n v="0"/>
    <n v="0"/>
    <n v="0"/>
    <n v="0"/>
    <n v="1729962"/>
  </r>
  <r>
    <x v="0"/>
    <s v="52469f91abb288f9ca4e9e25a6c5a85b40ce06b2b08ddad37e95c9408f5bef7abd87064c0bd75e67c5ecc01b75f146cb"/>
    <n v="145"/>
    <d v="2025-08-01T00:00:00"/>
    <n v="901907732"/>
    <s v="TECNOTICS SAS"/>
    <x v="16"/>
    <x v="16"/>
    <n v="2105000"/>
    <n v="399950"/>
    <n v="0"/>
    <n v="0"/>
    <n v="0"/>
    <n v="2504950"/>
  </r>
  <r>
    <x v="0"/>
    <s v="e9eeab7d31d05e5e2c0f62b691d070d5ff4c27a478acdf88009b9bb1906200a441234d5d403f2e502a29acea7792edae"/>
    <n v="146"/>
    <d v="2025-08-01T00:00:00"/>
    <n v="901907732"/>
    <s v="TECNOTICS SAS"/>
    <x v="15"/>
    <x v="15"/>
    <n v="1950000"/>
    <n v="370500"/>
    <n v="0"/>
    <n v="0"/>
    <n v="0"/>
    <n v="2320500"/>
  </r>
  <r>
    <x v="0"/>
    <s v="91562dc8f49c29b63207870328df3a5c734d30ffa940d29eb813305e2f015aa040c41b403440a0a70b31b1328a8ebfd8"/>
    <n v="147"/>
    <d v="2025-08-01T00:00:00"/>
    <n v="901907732"/>
    <s v="TECNOTICS SAS"/>
    <x v="11"/>
    <x v="11"/>
    <n v="192485"/>
    <n v="0"/>
    <n v="0"/>
    <n v="0"/>
    <n v="0"/>
    <n v="192485"/>
  </r>
  <r>
    <x v="0"/>
    <s v="db9918c891488adce5038c8c27463b72f7e350c81e496fa48cf911deddc0de35955159deb87e86b92ee5b45b84b430eb"/>
    <n v="148"/>
    <d v="2025-08-01T00:00:00"/>
    <n v="901907732"/>
    <s v="TECNOTICS SAS"/>
    <x v="12"/>
    <x v="12"/>
    <n v="868854"/>
    <n v="0"/>
    <n v="0"/>
    <n v="0"/>
    <n v="0"/>
    <n v="868854"/>
  </r>
  <r>
    <x v="0"/>
    <s v="f2c5b8b239cdec9d39a4e1b485cc521d94660786ab8ddd5478e8a16b56746ba2a997f653c734d5f2183d636d8203f827"/>
    <n v="149"/>
    <d v="2025-08-01T00:00:00"/>
    <n v="901907732"/>
    <s v="TECNOTICS SAS"/>
    <x v="6"/>
    <x v="6"/>
    <n v="432627"/>
    <n v="0"/>
    <n v="0"/>
    <n v="0"/>
    <n v="0"/>
    <n v="432627"/>
  </r>
  <r>
    <x v="0"/>
    <s v="21d9162dad7616c6911691f8846d57dad2d7b714b5aefee3d5feaebf49531cf5282c2b3aaed5507f3379f1569bb70f84"/>
    <n v="150"/>
    <d v="2025-08-01T00:00:00"/>
    <n v="901907732"/>
    <s v="TECNOTICS SAS"/>
    <x v="5"/>
    <x v="5"/>
    <n v="420145"/>
    <n v="0"/>
    <n v="0"/>
    <n v="0"/>
    <n v="0"/>
    <n v="420145"/>
  </r>
  <r>
    <x v="0"/>
    <s v="8a2880d7bdc8dd4657d35ac147474ce6daeb803c06caea4d7c61d9e881d09f9a965f2d496bd70563212463628589df86"/>
    <n v="151"/>
    <d v="2025-08-01T00:00:00"/>
    <n v="901907732"/>
    <s v="TECNOTICS SAS"/>
    <x v="4"/>
    <x v="4"/>
    <n v="1354608"/>
    <n v="0"/>
    <n v="0"/>
    <n v="0"/>
    <n v="0"/>
    <n v="1354608"/>
  </r>
  <r>
    <x v="0"/>
    <s v="3374b824f0dee26a64ba4c67d70c0b0d1a8141635d57cdde300284ea162b06eb31252884af7b1b3ed46d7bf53840187d"/>
    <n v="152"/>
    <d v="2025-08-01T00:00:00"/>
    <n v="901907732"/>
    <s v="TECNOTICS SAS"/>
    <x v="2"/>
    <x v="2"/>
    <n v="654500"/>
    <n v="124355"/>
    <n v="0"/>
    <n v="0"/>
    <n v="0"/>
    <n v="778855"/>
  </r>
  <r>
    <x v="0"/>
    <s v="dffef2001d970e44ea09e88aa3f4303de049518108507333ab7c0aa2006fdd986cd7d76502ad01cd257b0c2af8316ac6"/>
    <n v="153"/>
    <d v="2025-08-01T00:00:00"/>
    <n v="901907732"/>
    <s v="TECNOTICS SAS"/>
    <x v="0"/>
    <x v="0"/>
    <n v="550000"/>
    <n v="104500"/>
    <n v="0"/>
    <n v="0"/>
    <n v="0"/>
    <n v="654500"/>
  </r>
  <r>
    <x v="0"/>
    <s v="5c225660727419888c4602d886f9fb9a6a44f29fbf2f7592310455336bcab85bd6685c62252830ed81d0d914154e7ce4"/>
    <n v="154"/>
    <d v="2025-08-01T00:00:00"/>
    <n v="901907732"/>
    <s v="TECNOTICS SAS"/>
    <x v="14"/>
    <x v="14"/>
    <n v="2085282"/>
    <n v="171000"/>
    <n v="0"/>
    <n v="0"/>
    <n v="0"/>
    <n v="2256282"/>
  </r>
  <r>
    <x v="0"/>
    <s v="a4a0e8f9cd3b05c5c6ee53e92a1fe496f69e7caa6f7a550fcd5d99d7b78ae0ad259371e60e5359d11738dff9c193c238"/>
    <n v="155"/>
    <d v="2025-08-01T00:00:00"/>
    <n v="901907732"/>
    <s v="TECNOTICS SAS"/>
    <x v="10"/>
    <x v="10"/>
    <n v="900000"/>
    <n v="171000"/>
    <n v="0"/>
    <n v="0"/>
    <n v="0"/>
    <n v="1071000"/>
  </r>
  <r>
    <x v="0"/>
    <s v="be85734b81c7f1661e94998c1356a0ad4f28b925896fe55ce5cee97805d80db7f8f155f101e2d97a4fe5f677856d8b92"/>
    <n v="156"/>
    <d v="2025-08-04T00:00:00"/>
    <n v="901907732"/>
    <s v="TECNOTICS SAS"/>
    <x v="31"/>
    <x v="31"/>
    <n v="1804000"/>
    <n v="342760"/>
    <n v="0"/>
    <n v="0"/>
    <n v="0"/>
    <n v="2146760"/>
  </r>
  <r>
    <x v="0"/>
    <s v="1b4b2b9fd423c46803784e64763d38725eb49f39f3d6a77d9653cab8cf78fc9bafbf04be299afff91bf40b6c9d229197"/>
    <n v="157"/>
    <d v="2025-08-19T00:00:00"/>
    <n v="901907732"/>
    <s v="TECNOTICS SAS"/>
    <x v="32"/>
    <x v="32"/>
    <n v="2445000"/>
    <n v="464550"/>
    <n v="0"/>
    <n v="0"/>
    <n v="0"/>
    <n v="2909550"/>
  </r>
  <r>
    <x v="0"/>
    <s v="d86239b16f13db3a6d3080b658019415c699165a222a7db945ec630fa68af7b347972352e4d1bc626493d81faabc44af"/>
    <n v="158"/>
    <d v="2025-08-19T00:00:00"/>
    <n v="901907732"/>
    <s v="TECNOTICS SAS"/>
    <x v="33"/>
    <x v="33"/>
    <n v="755000"/>
    <n v="143450"/>
    <n v="0"/>
    <n v="0"/>
    <n v="0"/>
    <n v="898450"/>
  </r>
  <r>
    <x v="0"/>
    <s v="5414ddededaef57d4cd32d1b92e2fe5b98f945051db6c98eeeeb710b4082af456a6cc5aab44faeb5f4aad5af4d2b6c02"/>
    <n v="159"/>
    <d v="2025-08-20T00:00:00"/>
    <n v="901907732"/>
    <s v="TECNOTICS SAS"/>
    <x v="34"/>
    <x v="34"/>
    <n v="927624"/>
    <n v="0"/>
    <n v="0"/>
    <n v="0"/>
    <n v="0"/>
    <n v="927624"/>
  </r>
  <r>
    <x v="0"/>
    <s v="0ef1ffdb8cddd1675c5f72f0b7b6f14a0586c779ab836f1cb62508149ba2322bd770d17f1b801a06601a9be6ed4141f0"/>
    <n v="160"/>
    <d v="2025-08-20T00:00:00"/>
    <n v="901907732"/>
    <s v="TECNOTICS SAS"/>
    <x v="9"/>
    <x v="9"/>
    <n v="980000"/>
    <n v="0"/>
    <n v="0"/>
    <n v="0"/>
    <n v="0"/>
    <n v="980000"/>
  </r>
  <r>
    <x v="0"/>
    <s v="af5f794f3e7e0ebbeb02dc698eb97e373f0f2ed28c23a8864e67a545933ed65a9e4fba6aedb6d08e0863a0f1b923da96"/>
    <n v="161"/>
    <d v="2025-08-20T00:00:00"/>
    <n v="901907732"/>
    <s v="TECNOTICS SAS"/>
    <x v="13"/>
    <x v="13"/>
    <n v="92782"/>
    <n v="17628.580000000002"/>
    <n v="0"/>
    <n v="0"/>
    <n v="0"/>
    <n v="110410.58"/>
  </r>
  <r>
    <x v="0"/>
    <s v="fe91716ba17cfa9d27e74234e6738a96d5fa604c9db3b4c1390ee36e09091ac3da17d3b6b7052962ce496637435367c2"/>
    <n v="162"/>
    <d v="2025-08-21T00:00:00"/>
    <n v="901907732"/>
    <s v="TECNOTICS SAS"/>
    <x v="16"/>
    <x v="16"/>
    <n v="235000"/>
    <n v="44650"/>
    <n v="0"/>
    <n v="0"/>
    <n v="0"/>
    <n v="279650"/>
  </r>
  <r>
    <x v="0"/>
    <s v="067a21f55aee224d8d6154cdfc45ea079f5c2d2fc667edc8cee8a0dbf972c916eea0dddc66466ccd322f8f487db08111"/>
    <n v="163"/>
    <d v="2025-08-21T00:00:00"/>
    <n v="901907732"/>
    <s v="TECNOTICS SAS"/>
    <x v="16"/>
    <x v="16"/>
    <n v="109000"/>
    <n v="20710"/>
    <n v="0"/>
    <n v="0"/>
    <n v="0"/>
    <n v="129710"/>
  </r>
  <r>
    <x v="0"/>
    <s v="68852a69feec5d36d3b28a5b2901bad7939783617ef9dae7831ce07da00f4b883bf8195b68d3b30639ab663c367b1acc"/>
    <n v="164"/>
    <d v="2025-08-21T00:00:00"/>
    <n v="901907732"/>
    <s v="TECNOTICS SAS"/>
    <x v="16"/>
    <x v="16"/>
    <n v="70800"/>
    <n v="13452"/>
    <n v="0"/>
    <n v="0"/>
    <n v="0"/>
    <n v="84252"/>
  </r>
  <r>
    <x v="0"/>
    <s v="e22fa6165cdad8feaab9b95e738b1028a429561405f5316bd0dc5e48f485f76d0a996d783eef24d6bb99664aa2398e5a"/>
    <n v="165"/>
    <d v="2025-08-21T00:00:00"/>
    <n v="901907732"/>
    <s v="TECNOTICS SAS"/>
    <x v="16"/>
    <x v="16"/>
    <n v="840000"/>
    <n v="0"/>
    <n v="0"/>
    <n v="0"/>
    <n v="0"/>
    <n v="840000"/>
  </r>
  <r>
    <x v="0"/>
    <s v="8ba553b1ec04a4cc4c2219223e86f1968865ffae2cf445a2af3a2112f9a8b1ed8112cbc526e5afa1bff5e22f20586077"/>
    <n v="166"/>
    <d v="2025-08-26T00:00:00"/>
    <n v="901907732"/>
    <s v="TECNOTICS SAS"/>
    <x v="2"/>
    <x v="2"/>
    <n v="8150000"/>
    <n v="43700"/>
    <n v="0"/>
    <n v="0"/>
    <n v="0"/>
    <n v="8193700"/>
  </r>
  <r>
    <x v="0"/>
    <s v="b15cf3f003a0defd13a5ebfbe6a174db591a090370adf55659430d3cc25900a559f2ff6f6a188c49519318b97beac869"/>
    <n v="167"/>
    <d v="2025-08-29T00:00:00"/>
    <n v="901907732"/>
    <s v="TECNOTICS SAS"/>
    <x v="2"/>
    <x v="2"/>
    <n v="9170000"/>
    <n v="0"/>
    <n v="0"/>
    <n v="0"/>
    <n v="0"/>
    <n v="9170000"/>
  </r>
  <r>
    <x v="0"/>
    <s v="58997e93f34251a8c63aa24eeccb283b6d3fc9629451f013167afe8cc11302483eb994bacbef88b06016770e346337a1"/>
    <n v="168"/>
    <d v="2025-08-29T00:00:00"/>
    <n v="901907732"/>
    <s v="TECNOTICS SAS"/>
    <x v="3"/>
    <x v="3"/>
    <n v="1124000"/>
    <n v="213560"/>
    <n v="0"/>
    <n v="0"/>
    <n v="0"/>
    <n v="1337560"/>
  </r>
  <r>
    <x v="0"/>
    <s v="32737c3a5bd07d1f8bf39004f9797806a101ae5dd6324ca2e04547e372c342007e356897d54aaaf8ce814b854157b62f"/>
    <n v="169"/>
    <d v="2025-09-01T00:00:00"/>
    <n v="901907732"/>
    <s v="TECNOTICS SAS"/>
    <x v="21"/>
    <x v="21"/>
    <n v="169326"/>
    <n v="0"/>
    <n v="0"/>
    <n v="0"/>
    <n v="0"/>
    <n v="169326"/>
  </r>
  <r>
    <x v="0"/>
    <s v="f55d89626c8769db9d8d5eb0f37dca318ab29e431dc97342b054602438bdd256eb193b1ab807cdf6d286e231bfc65851"/>
    <n v="170"/>
    <d v="2025-09-01T00:00:00"/>
    <n v="901907732"/>
    <s v="TECNOTICS SAS"/>
    <x v="3"/>
    <x v="3"/>
    <n v="2600000"/>
    <n v="494000"/>
    <n v="0"/>
    <n v="0"/>
    <n v="0"/>
    <n v="3094000"/>
  </r>
  <r>
    <x v="0"/>
    <s v="a614040476e376b3a69a873baee9986b493f0f146d730d7ea26241b7a71402c496fb55a84128983082bd1b326c0d7081"/>
    <n v="171"/>
    <d v="2025-09-01T00:00:00"/>
    <n v="901907732"/>
    <s v="TECNOTICS SAS"/>
    <x v="9"/>
    <x v="9"/>
    <n v="2099450"/>
    <n v="218500"/>
    <n v="0"/>
    <n v="0"/>
    <n v="0"/>
    <n v="2317950"/>
  </r>
  <r>
    <x v="0"/>
    <s v="193c7041c96ac024563def28853a0f27f2aa9178ea39f9eaa9bd561be1d5d96e38484eb0a81ceb273ad917b29684823f"/>
    <n v="172"/>
    <d v="2025-09-01T00:00:00"/>
    <n v="901907732"/>
    <s v="TECNOTICS SAS"/>
    <x v="20"/>
    <x v="20"/>
    <n v="903072"/>
    <n v="0"/>
    <n v="0"/>
    <n v="0"/>
    <n v="0"/>
    <n v="903072"/>
  </r>
  <r>
    <x v="0"/>
    <s v="48be8f45cb4af84305df5f7b67aa6dcf1a3baddf27109677562c4c5ab549e3fad2109fd16a44602a149b636771577b92"/>
    <n v="173"/>
    <d v="2025-09-01T00:00:00"/>
    <n v="901907732"/>
    <s v="TECNOTICS SAS"/>
    <x v="17"/>
    <x v="17"/>
    <n v="5750978"/>
    <n v="0"/>
    <n v="0"/>
    <n v="0"/>
    <n v="0"/>
    <n v="5750978"/>
  </r>
  <r>
    <x v="0"/>
    <s v="89c6777e075b9e821753b88e3a9746eebb80066178a98200cc66fecc4f65eed4c6d6560fceb635d96d30501335b18855"/>
    <n v="174"/>
    <d v="2025-09-01T00:00:00"/>
    <n v="901907732"/>
    <s v="TECNOTICS SAS"/>
    <x v="17"/>
    <x v="17"/>
    <n v="2435000"/>
    <n v="0"/>
    <n v="0"/>
    <n v="0"/>
    <n v="0"/>
    <n v="2435000"/>
  </r>
  <r>
    <x v="0"/>
    <s v="e13a66dd783d46e8a3750386e2fef465cae5e26b20ef1a280e8df196c77ce082655adf04b30b4b82a3f2bfac675373a7"/>
    <n v="175"/>
    <d v="2025-09-01T00:00:00"/>
    <n v="901907732"/>
    <s v="TECNOTICS SAS"/>
    <x v="1"/>
    <x v="1"/>
    <n v="200000"/>
    <n v="0"/>
    <n v="0"/>
    <n v="0"/>
    <n v="0"/>
    <n v="200000"/>
  </r>
  <r>
    <x v="0"/>
    <s v="d2693bc8c4ac598adbda495c566576190e018c63fc3102243dd6b0a3d0d73e37c19f789a38a07e902fc9312a5c0be466"/>
    <n v="176"/>
    <d v="2025-09-01T00:00:00"/>
    <n v="901907732"/>
    <s v="TECNOTICS SAS"/>
    <x v="16"/>
    <x v="16"/>
    <n v="1729962"/>
    <n v="0"/>
    <n v="0"/>
    <n v="0"/>
    <n v="0"/>
    <n v="1729962"/>
  </r>
  <r>
    <x v="0"/>
    <s v="ceea629e5070fd63d1162b8c03955e620730fe054a7f0f992c31532da3901f680fe406303825858ca771d1cc33efcd1d"/>
    <n v="177"/>
    <d v="2025-09-01T00:00:00"/>
    <n v="901907732"/>
    <s v="TECNOTICS SAS"/>
    <x v="16"/>
    <x v="16"/>
    <n v="2105000"/>
    <n v="399950"/>
    <n v="0"/>
    <n v="0"/>
    <n v="0"/>
    <n v="2504950"/>
  </r>
  <r>
    <x v="0"/>
    <s v="d6010cc40e6c1811e097c3e37fd8caabac51c2c77b24f106e283b05fcd34b127002bf5e3b2222872c1b715d5703cc3a7"/>
    <n v="178"/>
    <d v="2025-09-01T00:00:00"/>
    <n v="901907732"/>
    <s v="TECNOTICS SAS"/>
    <x v="16"/>
    <x v="16"/>
    <n v="280000"/>
    <n v="0"/>
    <n v="0"/>
    <n v="0"/>
    <n v="0"/>
    <n v="280000"/>
  </r>
  <r>
    <x v="0"/>
    <s v="8ec16477aea9e6e4bd18bedfbc7d13610f482118dea11777c326b9fd7cd77683c478c3639a7cfb5e11fa5c6f557ad552"/>
    <n v="179"/>
    <d v="2025-09-01T00:00:00"/>
    <n v="901907732"/>
    <s v="TECNOTICS SAS"/>
    <x v="15"/>
    <x v="15"/>
    <n v="1950000"/>
    <n v="370500"/>
    <n v="0"/>
    <n v="0"/>
    <n v="0"/>
    <n v="2320500"/>
  </r>
  <r>
    <x v="0"/>
    <s v="b77ff756a0fb9b6cca177327660d5444249f62ac235310a96b8baa4ca2caf63363e9c15bc9d70fb1d16f02217067226f"/>
    <n v="180"/>
    <d v="2025-09-01T00:00:00"/>
    <n v="901907732"/>
    <s v="TECNOTICS SAS"/>
    <x v="11"/>
    <x v="11"/>
    <n v="192485"/>
    <n v="0"/>
    <n v="0"/>
    <n v="0"/>
    <n v="0"/>
    <n v="192485"/>
  </r>
  <r>
    <x v="0"/>
    <s v="e736c4fbb8f231003d590e568d6e0b0949f3775afda3d38a619e44aa6cf6a99d24bf25abd530f5e49e2fc9c162fb583b"/>
    <n v="181"/>
    <d v="2025-09-01T00:00:00"/>
    <n v="901907732"/>
    <s v="TECNOTICS SAS"/>
    <x v="12"/>
    <x v="12"/>
    <n v="868854"/>
    <n v="0"/>
    <n v="0"/>
    <n v="0"/>
    <n v="0"/>
    <n v="868854"/>
  </r>
  <r>
    <x v="0"/>
    <s v="9412b9e62883c50ba273743c10191a17fed7a42985f845d9f3b2db29ae54be7202c924dec6edf9e64a06a3c18c14d1c4"/>
    <n v="182"/>
    <d v="2025-09-01T00:00:00"/>
    <n v="901907732"/>
    <s v="TECNOTICS SAS"/>
    <x v="6"/>
    <x v="6"/>
    <n v="432627"/>
    <n v="0"/>
    <n v="0"/>
    <n v="0"/>
    <n v="0"/>
    <n v="432627"/>
  </r>
  <r>
    <x v="0"/>
    <s v="37c42d3401bfd27dfaf087c8c9a96013c419cdf779b6fab5567adaf568764fa0db8464648542b09f7c22e89dbdbfe6cb"/>
    <n v="183"/>
    <d v="2025-09-01T00:00:00"/>
    <n v="901907732"/>
    <s v="TECNOTICS SAS"/>
    <x v="5"/>
    <x v="5"/>
    <n v="365781"/>
    <n v="0"/>
    <n v="0"/>
    <n v="0"/>
    <n v="0"/>
    <n v="365781"/>
  </r>
  <r>
    <x v="0"/>
    <s v="710922644f311c1a4c5cdf8e328657a09952ab0ce7ce00ab6e466730768bbe69b0210c53e2346034c75eb753553331f8"/>
    <n v="184"/>
    <d v="2025-09-01T00:00:00"/>
    <n v="901907732"/>
    <s v="TECNOTICS SAS"/>
    <x v="4"/>
    <x v="4"/>
    <n v="1467492"/>
    <n v="0"/>
    <n v="0"/>
    <n v="0"/>
    <n v="0"/>
    <n v="1467492"/>
  </r>
  <r>
    <x v="0"/>
    <s v="8a826716fa53270631f4531d7281120dfe8ff8054a6ca98c89bb5f3eebd3c5b9dabfd4da6f4c29b2e19423ae8e924164"/>
    <n v="185"/>
    <d v="2025-09-01T00:00:00"/>
    <n v="901907732"/>
    <s v="TECNOTICS SAS"/>
    <x v="2"/>
    <x v="2"/>
    <n v="654500"/>
    <n v="124355"/>
    <n v="0"/>
    <n v="0"/>
    <n v="0"/>
    <n v="778855"/>
  </r>
  <r>
    <x v="0"/>
    <s v="fd4b3eec7ffa1361da65c7b8ef6bf520985ceafbc01a04cdc7fde2136b6ce0265b50e1f33acd204d2cdf39cd74f4832e"/>
    <n v="186"/>
    <d v="2025-09-01T00:00:00"/>
    <n v="901907732"/>
    <s v="TECNOTICS SAS"/>
    <x v="0"/>
    <x v="0"/>
    <n v="550000"/>
    <n v="104500"/>
    <n v="0"/>
    <n v="0"/>
    <n v="0"/>
    <n v="654500"/>
  </r>
  <r>
    <x v="0"/>
    <s v="a668b31cd4b12fd03267e50d2559b4a11904fd0ddb3d4825f801c068b70c8434d17a3073c89896de6b24bd1229f6b764"/>
    <n v="187"/>
    <d v="2025-09-01T00:00:00"/>
    <n v="901907732"/>
    <s v="TECNOTICS SAS"/>
    <x v="14"/>
    <x v="14"/>
    <n v="2085282"/>
    <n v="171000"/>
    <n v="0"/>
    <n v="0"/>
    <n v="0"/>
    <n v="2256282"/>
  </r>
  <r>
    <x v="0"/>
    <s v="b7aea48467545a749adf25edd34c074864c040ee899ebdbb91676e111729cb1b637af1f5f8687b2023db2cb11fef50ec"/>
    <n v="188"/>
    <d v="2025-09-01T00:00:00"/>
    <n v="901907732"/>
    <s v="TECNOTICS SAS"/>
    <x v="10"/>
    <x v="10"/>
    <n v="900000"/>
    <n v="171000"/>
    <n v="0"/>
    <n v="0"/>
    <n v="0"/>
    <n v="1071000"/>
  </r>
  <r>
    <x v="0"/>
    <s v="4c08448edfd72b3d10dea53b5153fdfe623772b5ceed0d594cab08dd8f75dda0331fffbd31c6c27fb999c1251c56ef8a"/>
    <n v="189"/>
    <d v="2025-09-03T00:00:00"/>
    <n v="901907732"/>
    <s v="TECNOTICS SAS"/>
    <x v="35"/>
    <x v="35"/>
    <n v="680000"/>
    <n v="129200"/>
    <n v="0"/>
    <n v="0"/>
    <n v="0"/>
    <n v="809200"/>
  </r>
  <r>
    <x v="0"/>
    <s v="a444123ad8e7643b3bd9b9b7295c71245256104230cd23443394c48a33b7cf24e5ed2614b55a4e7ca5aa4874ad371b6f"/>
    <n v="190"/>
    <d v="2025-09-03T00:00:00"/>
    <n v="901907732"/>
    <s v="TECNOTICS SAS"/>
    <x v="35"/>
    <x v="35"/>
    <n v="75000"/>
    <n v="14250"/>
    <n v="0"/>
    <n v="0"/>
    <n v="0"/>
    <n v="89250"/>
  </r>
  <r>
    <x v="0"/>
    <s v="7b35a1b6d4cec852d0c9e9bf37273979106a0786e1470717e5cd0cf5d0e1b77295273cbe54ef7f2c9a6d3edf1df79ad3"/>
    <n v="191"/>
    <d v="2025-09-05T00:00:00"/>
    <n v="901907732"/>
    <s v="TECNOTICS SAS"/>
    <x v="36"/>
    <x v="36"/>
    <n v="1400000"/>
    <n v="266000"/>
    <n v="0"/>
    <n v="0"/>
    <n v="0"/>
    <n v="1666000"/>
  </r>
  <r>
    <x v="0"/>
    <s v="414b6bfdc913e46833b9c6368374c27b3d7a0fe838e3f918ca1bb60e39b6b2837f475b68c9cb99bb7f752522dd5627a2"/>
    <n v="192"/>
    <d v="2025-09-05T00:00:00"/>
    <n v="901907732"/>
    <s v="TECNOTICS SAS"/>
    <x v="9"/>
    <x v="9"/>
    <n v="6000000"/>
    <n v="0"/>
    <n v="0"/>
    <n v="0"/>
    <n v="0"/>
    <n v="6000000"/>
  </r>
  <r>
    <x v="0"/>
    <s v="47200a3164bcb2585819416c1ac871906fe725f07521711336bad46df82ce14e268103bbdff502a085df75bc901d4ac5"/>
    <n v="193"/>
    <d v="2025-09-06T00:00:00"/>
    <n v="901907732"/>
    <s v="TECNOTICS SAS"/>
    <x v="16"/>
    <x v="16"/>
    <n v="7550000"/>
    <n v="1434500"/>
    <n v="0"/>
    <n v="0"/>
    <n v="0"/>
    <n v="8984500"/>
  </r>
  <r>
    <x v="0"/>
    <s v="586703c368d0e4b9569620fd839b0a1bee7edaa3b8061cfb7416130ba31372882946454614bf90ec1c85f79adcbd79f4"/>
    <n v="194"/>
    <d v="2025-09-06T00:00:00"/>
    <n v="901907732"/>
    <s v="TECNOTICS SAS"/>
    <x v="15"/>
    <x v="15"/>
    <n v="815000"/>
    <n v="154850"/>
    <n v="0"/>
    <n v="0"/>
    <n v="0"/>
    <n v="969850"/>
  </r>
  <r>
    <x v="0"/>
    <s v="a4f20f06afa011f22700650dd9bb643f3ad8f468ef1d22350c9e23bdf6355660e2fa0c58486e45609e0e1dd958aec22e"/>
    <n v="195"/>
    <d v="2025-09-06T00:00:00"/>
    <n v="901907732"/>
    <s v="TECNOTICS SAS"/>
    <x v="35"/>
    <x v="35"/>
    <n v="75000"/>
    <n v="14250"/>
    <n v="0"/>
    <n v="0"/>
    <n v="0"/>
    <n v="89250"/>
  </r>
  <r>
    <x v="0"/>
    <s v="4fa86840dc10b27839609a031bc91ab4f2ac0c89dbdfa442f469d6611fba01eb17ca982866a4abd81cdeeaa9473bcb24"/>
    <n v="196"/>
    <d v="2025-09-12T00:00:00"/>
    <n v="901907732"/>
    <s v="TECNOTICS SAS"/>
    <x v="34"/>
    <x v="34"/>
    <n v="940000"/>
    <n v="0"/>
    <n v="0"/>
    <n v="0"/>
    <n v="0"/>
    <n v="940000"/>
  </r>
  <r>
    <x v="0"/>
    <s v="80f9c1aa0acadf867bc707290aff624c5174320922c0f2fc77feae64a3fcb16a559228bc33219f10f9f2fdaf0ffec7a6"/>
    <n v="197"/>
    <d v="2025-09-16T00:00:00"/>
    <n v="901907732"/>
    <s v="TECNOTICS SAS"/>
    <x v="16"/>
    <x v="16"/>
    <n v="6659000"/>
    <n v="803510"/>
    <n v="0"/>
    <n v="0"/>
    <n v="0"/>
    <n v="7462510"/>
  </r>
  <r>
    <x v="0"/>
    <s v="c4093f757a81a83dd62c878a18b79c1eba1a140c24c80a79e383e8b9640478d7a03963b21cbb01e2aa673078bb6e0ecf"/>
    <n v="198"/>
    <d v="2025-09-16T00:00:00"/>
    <n v="901907732"/>
    <s v="TECNOTICS SAS"/>
    <x v="3"/>
    <x v="3"/>
    <n v="3200000"/>
    <n v="608000"/>
    <n v="0"/>
    <n v="0"/>
    <n v="0"/>
    <n v="3808000"/>
  </r>
  <r>
    <x v="0"/>
    <s v="132348ae168fa453c4370f9ce8354a625bfb718785e0bd5125aaef26ff66b94a54e1c85668a2479494f198f974fb4973"/>
    <n v="199"/>
    <d v="2025-09-17T00:00:00"/>
    <n v="901907732"/>
    <s v="TECNOTICS SAS"/>
    <x v="35"/>
    <x v="35"/>
    <n v="1050000"/>
    <n v="199500"/>
    <n v="0"/>
    <n v="0"/>
    <n v="0"/>
    <n v="1249500"/>
  </r>
  <r>
    <x v="0"/>
    <s v="a488dc2f5f76e5b2297e9085eab67b7b8440d03cd203c04ce59761d3177ebebf97033c0afa276fbc999eccb4dcbab86f"/>
    <n v="200"/>
    <d v="2025-09-17T00:00:00"/>
    <n v="901907732"/>
    <s v="TECNOTICS SAS"/>
    <x v="37"/>
    <x v="37"/>
    <n v="1800000"/>
    <n v="0"/>
    <n v="0"/>
    <n v="0"/>
    <n v="0"/>
    <n v="1800000"/>
  </r>
  <r>
    <x v="0"/>
    <s v="e1fff8dac92fd7d8ff659c01e837768a6910218f2ecb55c96e6305d56603d5945f8822d6188440051e684e408a9339bb"/>
    <n v="201"/>
    <d v="2025-09-17T00:00:00"/>
    <n v="901907732"/>
    <s v="TECNOTICS SAS"/>
    <x v="36"/>
    <x v="36"/>
    <n v="1713000"/>
    <n v="0"/>
    <n v="0"/>
    <n v="0"/>
    <n v="0"/>
    <n v="1713000"/>
  </r>
  <r>
    <x v="0"/>
    <s v="0490df7d4128617b051e9d49e312d265a3f55c9105ce49ba7afa91fa4ea4b1587e7784cf0fc0e77a13fd3a9dc1b789a9"/>
    <n v="202"/>
    <d v="2025-09-22T00:00:00"/>
    <n v="901907732"/>
    <s v="TECNOTICS SAS"/>
    <x v="12"/>
    <x v="12"/>
    <n v="868854"/>
    <n v="0"/>
    <n v="0"/>
    <n v="0"/>
    <n v="0"/>
    <n v="868854"/>
  </r>
  <r>
    <x v="0"/>
    <s v="0b0d166d1c199846899940da06bb9c267374e15619b5ce3ee8f4077c945c5c5355d9bb2adac40bd39510558b68af1ca5"/>
    <n v="203"/>
    <d v="2025-09-23T00:00:00"/>
    <n v="901907732"/>
    <s v="TECNOTICS SAS"/>
    <x v="15"/>
    <x v="15"/>
    <n v="300000"/>
    <n v="57000"/>
    <n v="0"/>
    <n v="0"/>
    <n v="0"/>
    <n v="357000"/>
  </r>
  <r>
    <x v="0"/>
    <s v="a1beabc98cea694b76751904be7bc8d69612dc6d0b8f47b776f9c10de3a00ed88c926dc8e86d568d9648fbe08e7f8f5a"/>
    <n v="204"/>
    <d v="2025-09-25T00:00:00"/>
    <n v="901907732"/>
    <s v="TECNOTICS SAS"/>
    <x v="36"/>
    <x v="36"/>
    <n v="700500"/>
    <n v="133095"/>
    <n v="0"/>
    <n v="0"/>
    <n v="0"/>
    <n v="833595"/>
  </r>
  <r>
    <x v="0"/>
    <s v="82f343ce1f39b9b5efab5f57e171fe16e4f917b90915d833ff8a8df37753aa75898efa50ce39c9945b12c8ce185cfb20"/>
    <n v="205"/>
    <d v="2025-09-25T00:00:00"/>
    <n v="901907732"/>
    <s v="TECNOTICS SAS"/>
    <x v="37"/>
    <x v="37"/>
    <n v="467000"/>
    <n v="88730"/>
    <n v="0"/>
    <n v="0"/>
    <n v="0"/>
    <n v="555730"/>
  </r>
  <r>
    <x v="0"/>
    <s v="fb27ce976f92bb6c3353db55b52a283e7e795d588c4f26ab4d15a71e82f6f152af8f3b3f676efb8ba233d73f20150716"/>
    <n v="206"/>
    <d v="2025-10-01T00:00:00"/>
    <n v="901907732"/>
    <s v="TECNOTICS SAS"/>
    <x v="21"/>
    <x v="21"/>
    <n v="169326"/>
    <n v="0"/>
    <n v="0"/>
    <n v="0"/>
    <n v="0"/>
    <n v="169326"/>
  </r>
  <r>
    <x v="0"/>
    <s v="57794dee273bd8d024d043ee5ea5acdd9254087b326169dbc3ab5a0b359be099b829a5056110faccf73b1947d3abffd6"/>
    <n v="207"/>
    <d v="2025-10-01T00:00:00"/>
    <n v="901907732"/>
    <s v="TECNOTICS SAS"/>
    <x v="3"/>
    <x v="3"/>
    <n v="2600000"/>
    <n v="494000"/>
    <n v="0"/>
    <n v="0"/>
    <n v="0"/>
    <n v="3094000"/>
  </r>
  <r>
    <x v="0"/>
    <s v="23cfbfb3a45c8a21fe916da1db69557d854b3786458e65a4ad79a0f33ebe04c09c65eb6f2cd0b8eb8ca9258c41004c73"/>
    <n v="208"/>
    <d v="2025-10-01T00:00:00"/>
    <n v="901907732"/>
    <s v="TECNOTICS SAS"/>
    <x v="9"/>
    <x v="9"/>
    <n v="2094236.9999999998"/>
    <n v="285637.07"/>
    <n v="0"/>
    <n v="0"/>
    <n v="0"/>
    <n v="2379874.0699999998"/>
  </r>
  <r>
    <x v="0"/>
    <s v="efd469b9cfe72b28675631326adcdfab8331b7c3513b26fbe998bf848f417dd1b8fd8ddb576d687a908ead2b8ee89e37"/>
    <n v="209"/>
    <d v="2025-10-01T00:00:00"/>
    <n v="901907732"/>
    <s v="TECNOTICS SAS"/>
    <x v="20"/>
    <x v="20"/>
    <n v="903072"/>
    <n v="0"/>
    <n v="0"/>
    <n v="0"/>
    <n v="0"/>
    <n v="903072"/>
  </r>
  <r>
    <x v="0"/>
    <s v="fddc2b3f75b4ed218ba5038b05eb3e6d2399e233e765fe43d3069eebcf1a29f1f5779fa7f92b0072d3c9b52bbeb87cd6"/>
    <n v="210"/>
    <d v="2025-10-01T00:00:00"/>
    <n v="901907732"/>
    <s v="TECNOTICS SAS"/>
    <x v="17"/>
    <x v="17"/>
    <n v="5870978"/>
    <n v="0"/>
    <n v="0"/>
    <n v="0"/>
    <n v="0"/>
    <n v="5870978"/>
  </r>
  <r>
    <x v="0"/>
    <s v="daf0b9aa384a5522738e4fcf143a6a4f301ba8f4c06ed418caa838399d65eab976f31e2bc0cb8bfe9ce69969370bd2e9"/>
    <n v="211"/>
    <d v="2025-10-01T00:00:00"/>
    <n v="901907732"/>
    <s v="TECNOTICS SAS"/>
    <x v="17"/>
    <x v="17"/>
    <n v="2435000"/>
    <n v="0"/>
    <n v="0"/>
    <n v="0"/>
    <n v="0"/>
    <n v="2435000"/>
  </r>
  <r>
    <x v="0"/>
    <s v="735292e36499e63362cba495567a9650e5a5216c019af38870a51f72b6043b133a5e5db41bdffb9879615581badc810d"/>
    <n v="212"/>
    <d v="2025-10-01T00:00:00"/>
    <n v="901907732"/>
    <s v="TECNOTICS SAS"/>
    <x v="1"/>
    <x v="1"/>
    <n v="200000"/>
    <n v="0"/>
    <n v="0"/>
    <n v="0"/>
    <n v="0"/>
    <n v="200000"/>
  </r>
  <r>
    <x v="0"/>
    <s v="fe248aae7f72813c4a90e69d94da04e13221a58b44d413082b3b410a8573ad9175cc568d0faf13530aeaddf0b20052e0"/>
    <n v="213"/>
    <d v="2025-10-01T00:00:00"/>
    <n v="901907732"/>
    <s v="TECNOTICS SAS"/>
    <x v="16"/>
    <x v="16"/>
    <n v="1535677.47"/>
    <n v="0"/>
    <n v="0"/>
    <n v="0"/>
    <n v="0"/>
    <n v="1535677.47"/>
  </r>
  <r>
    <x v="0"/>
    <s v="aee39e04522579765c0caf23c42d2c1a1b12defd612383c32712f91ad8c003020fff54ab04c0ddab26a046e5904a78fa"/>
    <n v="214"/>
    <d v="2025-10-01T00:00:00"/>
    <n v="901907732"/>
    <s v="TECNOTICS SAS"/>
    <x v="16"/>
    <x v="16"/>
    <n v="2105000"/>
    <n v="399950"/>
    <n v="0"/>
    <n v="0"/>
    <n v="0"/>
    <n v="2504950"/>
  </r>
  <r>
    <x v="0"/>
    <s v="cabba62ab7a1470ef4f6364fa8d5ec1ddc10ecc470a594673e3ffc9ea44275704cca726583a610164f2867f104fdebee"/>
    <n v="215"/>
    <d v="2025-10-01T00:00:00"/>
    <n v="901907732"/>
    <s v="TECNOTICS SAS"/>
    <x v="16"/>
    <x v="16"/>
    <n v="280000"/>
    <n v="0"/>
    <n v="0"/>
    <n v="0"/>
    <n v="0"/>
    <n v="280000"/>
  </r>
  <r>
    <x v="0"/>
    <s v="4018717175ac590d4cb0fa9080070a7f22483ab7d583c45b77037de0d2c32169e137bba3af9a1edb590dbf4b4e0ad0a6"/>
    <n v="216"/>
    <d v="2025-10-01T00:00:00"/>
    <n v="901907732"/>
    <s v="TECNOTICS SAS"/>
    <x v="16"/>
    <x v="16"/>
    <n v="2034000"/>
    <n v="386460"/>
    <n v="0"/>
    <n v="0"/>
    <n v="0"/>
    <n v="2420460"/>
  </r>
  <r>
    <x v="0"/>
    <s v="993199cee1d3fc5668a2b92862560512b37ef3d5981b65b7c8d77619b9e812257b313a7156743e52490d3847d386d3e3"/>
    <n v="217"/>
    <d v="2025-10-01T00:00:00"/>
    <n v="901907732"/>
    <s v="TECNOTICS SAS"/>
    <x v="15"/>
    <x v="15"/>
    <n v="1950000"/>
    <n v="370500"/>
    <n v="0"/>
    <n v="0"/>
    <n v="0"/>
    <n v="2320500"/>
  </r>
  <r>
    <x v="0"/>
    <s v="f4114bdec4356ccb44d4fbdcb793de2f34fe38786c664602b6fc267e5696814748827ee27b8338ff2127ba1b038e6e66"/>
    <n v="218"/>
    <d v="2025-10-01T00:00:00"/>
    <n v="901907732"/>
    <s v="TECNOTICS SAS"/>
    <x v="11"/>
    <x v="11"/>
    <n v="192485"/>
    <n v="0"/>
    <n v="0"/>
    <n v="0"/>
    <n v="0"/>
    <n v="192485"/>
  </r>
  <r>
    <x v="0"/>
    <s v="1d2a4d40bd9833cbb810d431a4600e60fcc95b1d6a0451d1fb96c5029bc49d94b5aaf2485747a46cc2e44ae80859a3b3"/>
    <n v="219"/>
    <d v="2025-10-01T00:00:00"/>
    <n v="901907732"/>
    <s v="TECNOTICS SAS"/>
    <x v="6"/>
    <x v="6"/>
    <n v="432627"/>
    <n v="0"/>
    <n v="0"/>
    <n v="0"/>
    <n v="0"/>
    <n v="432627"/>
  </r>
  <r>
    <x v="0"/>
    <s v="f1611df85f9ed92a0e2d0933ac5d8e8767a02567e74846cb2b27f1833a2c254de0f6714be4bd75a01d050ba79aa372ff"/>
    <n v="220"/>
    <d v="2025-10-01T00:00:00"/>
    <n v="901907732"/>
    <s v="TECNOTICS SAS"/>
    <x v="5"/>
    <x v="5"/>
    <n v="365781"/>
    <n v="0"/>
    <n v="0"/>
    <n v="0"/>
    <n v="0"/>
    <n v="365781"/>
  </r>
  <r>
    <x v="0"/>
    <s v="304e8d87e685d78b177c19ab58a28cb93a2134d450f658637bdaefb5230ba7e61e00d0527b34560716f677680eaf16d6"/>
    <n v="221"/>
    <d v="2025-10-01T00:00:00"/>
    <n v="901907732"/>
    <s v="TECNOTICS SAS"/>
    <x v="4"/>
    <x v="4"/>
    <n v="1481844"/>
    <n v="0"/>
    <n v="0"/>
    <n v="0"/>
    <n v="0"/>
    <n v="1481844"/>
  </r>
  <r>
    <x v="0"/>
    <s v="8ec1e16592c842135a3cccb2c3639247269dae0c186828d0858176334a80398b229c44de5cf7c1936fcea66bcfd7cf93"/>
    <n v="222"/>
    <d v="2025-10-01T00:00:00"/>
    <n v="901907732"/>
    <s v="TECNOTICS SAS"/>
    <x v="2"/>
    <x v="2"/>
    <n v="645500"/>
    <n v="122645"/>
    <n v="0"/>
    <n v="0"/>
    <n v="0"/>
    <n v="768145"/>
  </r>
  <r>
    <x v="0"/>
    <s v="8b5742fd004928dc58f6052f7b7d6955ae288fdc474708f514721fef77de5a2346f2ba6e1a2b9466066efc4196ecccd6"/>
    <n v="223"/>
    <d v="2025-10-01T00:00:00"/>
    <n v="901907732"/>
    <s v="TECNOTICS SAS"/>
    <x v="0"/>
    <x v="0"/>
    <n v="550000"/>
    <n v="104500"/>
    <n v="0"/>
    <n v="0"/>
    <n v="0"/>
    <n v="654500"/>
  </r>
  <r>
    <x v="0"/>
    <s v="74aa06617c6bd5670b9400b495ae29c708895de57967a9f5d033f26aba5d617932ba6520a29733c36693a9b8f260a1ab"/>
    <n v="224"/>
    <d v="2025-10-01T00:00:00"/>
    <n v="901907732"/>
    <s v="TECNOTICS SAS"/>
    <x v="14"/>
    <x v="14"/>
    <n v="1275282"/>
    <n v="17100"/>
    <n v="0"/>
    <n v="0"/>
    <n v="0"/>
    <n v="1292382"/>
  </r>
  <r>
    <x v="0"/>
    <s v="83704fe070fd235d4120bac11d1c040bd14769f957eb7cc551a49fae73e570ebb676de2690c7911ffa69d48022b66fb5"/>
    <n v="225"/>
    <d v="2025-10-01T00:00:00"/>
    <n v="901907732"/>
    <s v="TECNOTICS SAS"/>
    <x v="10"/>
    <x v="10"/>
    <n v="900000"/>
    <n v="171000"/>
    <n v="0"/>
    <n v="0"/>
    <n v="0"/>
    <n v="1071000"/>
  </r>
  <r>
    <x v="0"/>
    <s v="fb56703cac664d09e9bbed7f5cb936874fde94a97d7557b09337fa18c31340c33b9253d9dcd1deb39346b87804b6d0db"/>
    <n v="226"/>
    <d v="2025-10-01T00:00:00"/>
    <n v="901907732"/>
    <s v="TECNOTICS SAS"/>
    <x v="10"/>
    <x v="10"/>
    <n v="703000"/>
    <n v="133570"/>
    <n v="0"/>
    <n v="0"/>
    <n v="0"/>
    <n v="836570"/>
  </r>
  <r>
    <x v="0"/>
    <s v="3f81dd4e6798d2f5f3aa005bbaa1cb8773c1c79cb5dcd756485148299cb2952ea8613c6a0bf392a5ee61f1790463b462"/>
    <n v="227"/>
    <d v="2025-10-01T00:00:00"/>
    <n v="901907732"/>
    <s v="TECNOTICS SAS"/>
    <x v="10"/>
    <x v="10"/>
    <n v="105000"/>
    <n v="19950"/>
    <n v="0"/>
    <n v="0"/>
    <n v="0"/>
    <n v="124950"/>
  </r>
  <r>
    <x v="0"/>
    <s v="03fdea5e28ba5c35993353d9bccdf611c252eae5a223fcf10cf5542ac58c4cefcf55c666efa1c5e9be854f5712d8c254"/>
    <n v="228"/>
    <d v="2025-10-01T00:00:00"/>
    <n v="901907732"/>
    <s v="TECNOTICS SAS"/>
    <x v="36"/>
    <x v="36"/>
    <n v="1400000"/>
    <n v="266000"/>
    <n v="0"/>
    <n v="0"/>
    <n v="0"/>
    <n v="1666000"/>
  </r>
  <r>
    <x v="0"/>
    <s v="a9947c4271826097d5f0ca976edb8d22c8f866622aaf8d904cfe946f7b352b7e8311e59afeab53bd4df0dd4cde30f76c"/>
    <n v="229"/>
    <d v="2025-10-09T00:00:00"/>
    <n v="901907732"/>
    <s v="TECNOTICS SAS"/>
    <x v="4"/>
    <x v="4"/>
    <n v="16875000"/>
    <n v="0"/>
    <n v="0"/>
    <n v="0"/>
    <n v="0"/>
    <n v="16875000"/>
  </r>
  <r>
    <x v="0"/>
    <s v="bf9ed3ab7e4248dade395f0ba53184ea53d48a5484265d40850e0e1caee44ae62c5744a5fe6661686f90da2ad10d3537"/>
    <n v="230"/>
    <d v="2025-10-10T00:00:00"/>
    <n v="901907732"/>
    <s v="TECNOTICS SAS"/>
    <x v="4"/>
    <x v="4"/>
    <n v="14997420"/>
    <n v="0"/>
    <n v="0"/>
    <n v="0"/>
    <n v="0"/>
    <n v="14997420"/>
  </r>
  <r>
    <x v="0"/>
    <s v="9f50ee97528a3fb159c30ffe899be806d6eda4f713468fc0545a8acabc973b03350ada2d3525e488be14e18d79cb5759"/>
    <n v="231"/>
    <d v="2025-10-17T00:00:00"/>
    <n v="901907732"/>
    <s v="TECNOTICS SAS"/>
    <x v="16"/>
    <x v="16"/>
    <n v="435000"/>
    <n v="82650"/>
    <n v="0"/>
    <n v="0"/>
    <n v="0"/>
    <n v="517650"/>
  </r>
  <r>
    <x v="0"/>
    <s v="6e5f1375d06c2cde81c24cba48e32f575b2b00643848db2b5137b30be0e52ab0b69d5567d664af0cc6e7e320be02e8cc"/>
    <n v="232"/>
    <d v="2025-10-17T00:00:00"/>
    <n v="901907732"/>
    <s v="TECNOTICS SAS"/>
    <x v="16"/>
    <x v="16"/>
    <n v="335000"/>
    <n v="63650"/>
    <n v="0"/>
    <n v="0"/>
    <n v="0"/>
    <n v="398650"/>
  </r>
  <r>
    <x v="0"/>
    <s v="42af231cebb3dfb412a809338cdd1da826e932d0c8180b484becba4e84003bc29ec7bb01abada4e3939a41257d515e03"/>
    <n v="233"/>
    <d v="2025-10-17T00:00:00"/>
    <n v="901907732"/>
    <s v="TECNOTICS SAS"/>
    <x v="16"/>
    <x v="16"/>
    <n v="115000"/>
    <n v="0"/>
    <n v="0"/>
    <n v="0"/>
    <n v="0"/>
    <n v="115000"/>
  </r>
  <r>
    <x v="0"/>
    <s v="502ddea131b6971fd8f2084ef9e5e7d89c51f782752ec2978e0792701aced2b6e8c70b449334bb7aae8159b4aacd5579"/>
    <n v="234"/>
    <d v="2025-10-17T00:00:00"/>
    <n v="901907732"/>
    <s v="TECNOTICS SAS"/>
    <x v="16"/>
    <x v="16"/>
    <n v="425000"/>
    <n v="80750"/>
    <n v="0"/>
    <n v="0"/>
    <n v="0"/>
    <n v="505750"/>
  </r>
  <r>
    <x v="0"/>
    <s v="c7e2cde5b4a4b983ac28a2d4c98bf43b5b2e80295aee64475bbcf8aa4e2fa7d92b49382e39fb67fe2bb9ca1f3a02e9d4"/>
    <n v="235"/>
    <d v="2025-10-17T00:00:00"/>
    <n v="901907732"/>
    <s v="TECNOTICS SAS"/>
    <x v="16"/>
    <x v="16"/>
    <n v="450000"/>
    <n v="0"/>
    <n v="0"/>
    <n v="0"/>
    <n v="0"/>
    <n v="450000"/>
  </r>
  <r>
    <x v="0"/>
    <s v="0a05520fa39bc30857f863ed63c365726b9d07ccd78fe521a1f017e7d808fd4ffa82a15fc449b8b24d5984a75a16f3c6"/>
    <n v="236"/>
    <d v="2025-10-17T00:00:00"/>
    <n v="901907732"/>
    <s v="TECNOTICS SAS"/>
    <x v="16"/>
    <x v="16"/>
    <n v="456000"/>
    <n v="86640"/>
    <n v="0"/>
    <n v="0"/>
    <n v="0"/>
    <n v="542640"/>
  </r>
  <r>
    <x v="0"/>
    <s v="491977dba7ba7e8243d0de14f32a61518bd7edfd8276458fba3f0bbe41fcc36887a7bc9c3d2166f9a463ca7b5cc12308"/>
    <n v="237"/>
    <d v="2025-10-17T00:00:00"/>
    <n v="901907732"/>
    <s v="TECNOTICS SAS"/>
    <x v="15"/>
    <x v="15"/>
    <n v="456000"/>
    <n v="86640"/>
    <n v="0"/>
    <n v="0"/>
    <n v="0"/>
    <n v="542640"/>
  </r>
  <r>
    <x v="0"/>
    <s v="731e81fa65118b63911151235fbaa68e13ef94b95bc944ebd4ecb9bd68fa6ba3d55eaf2ea0b6fa41099d8f1e62a79cc0"/>
    <n v="238"/>
    <d v="2025-10-25T00:00:00"/>
    <n v="901907732"/>
    <s v="TECNOTICS SAS"/>
    <x v="36"/>
    <x v="36"/>
    <n v="2700000"/>
    <n v="0"/>
    <n v="0"/>
    <n v="0"/>
    <n v="0"/>
    <n v="2700000"/>
  </r>
  <r>
    <x v="0"/>
    <s v="c4f944db0248da2a69cbd3815acfc6869a1290ff774573cbf48af79bd12664ecf6622fcf693a241168ffc4da58b220b4"/>
    <n v="239"/>
    <d v="2025-10-25T00:00:00"/>
    <n v="901907732"/>
    <s v="TECNOTICS SAS"/>
    <x v="37"/>
    <x v="37"/>
    <n v="1550000"/>
    <n v="57000"/>
    <n v="0"/>
    <n v="0"/>
    <n v="0"/>
    <n v="1607000"/>
  </r>
  <r>
    <x v="0"/>
    <s v="8536188c419b2571884262dc32fd42b9867ab369afdedc2f8c765af37a9f213ba4faa694e3ffdd4843db73f1b53c505d"/>
    <n v="240"/>
    <d v="2025-10-25T00:00:00"/>
    <n v="901907732"/>
    <s v="TECNOTICS SAS"/>
    <x v="36"/>
    <x v="36"/>
    <n v="1550000"/>
    <n v="0"/>
    <n v="0"/>
    <n v="0"/>
    <n v="0"/>
    <n v="1550000"/>
  </r>
  <r>
    <x v="0"/>
    <s v="ebe1f18c8fe0032dbc9ca8f90f085a9f8fdc6da0b17c4fb126cd46b00b9e4012f11497048091c68bcf5377583a252b9c"/>
    <n v="241"/>
    <d v="2025-10-25T00:00:00"/>
    <n v="901907732"/>
    <s v="TECNOTICS SAS"/>
    <x v="37"/>
    <x v="37"/>
    <n v="1550000"/>
    <n v="57000"/>
    <n v="0"/>
    <n v="0"/>
    <n v="0"/>
    <n v="1607000"/>
  </r>
  <r>
    <x v="0"/>
    <s v="5e59e0938dfc05600158d7c959b90aee6e7ec210be4d36c743d11a422572f8248e2409b0389bdb11dd971163fe6ef9a3"/>
    <n v="242"/>
    <d v="2025-10-25T00:00:00"/>
    <n v="901907732"/>
    <s v="TECNOTICS SAS"/>
    <x v="36"/>
    <x v="36"/>
    <n v="1164579.83"/>
    <n v="221270.17"/>
    <n v="0"/>
    <n v="0"/>
    <n v="0"/>
    <n v="1385850"/>
  </r>
  <r>
    <x v="0"/>
    <s v="06d10e745655a54ca0900dc180a2d7e0a3c76960d06889477d8ae2ef06608dd4eab531598e4a9f471fd938d560171c40"/>
    <n v="243"/>
    <d v="2025-10-25T00:00:00"/>
    <n v="901907732"/>
    <s v="TECNOTICS SAS"/>
    <x v="19"/>
    <x v="19"/>
    <n v="734000"/>
    <n v="139460"/>
    <n v="0"/>
    <n v="0"/>
    <n v="0"/>
    <n v="873460"/>
  </r>
  <r>
    <x v="0"/>
    <s v="48561298affa6728b97870e9c644db328b14389d04650e609ff96793b4558f52eb2b8132232492efa661299facb984a0"/>
    <n v="244"/>
    <d v="2025-10-25T00:00:00"/>
    <n v="901907732"/>
    <s v="TECNOTICS SAS"/>
    <x v="38"/>
    <x v="38"/>
    <n v="840000"/>
    <n v="159600"/>
    <n v="0"/>
    <n v="0"/>
    <n v="0"/>
    <n v="999600"/>
  </r>
  <r>
    <x v="0"/>
    <s v="4e3d2ae04feb7605333ce7c5cd969f62b77be91b510e1d705390cff1f6f13743f03dbd0f5bf4e1ef4692fb4e158ab7b7"/>
    <n v="245"/>
    <d v="2025-10-28T00:00:00"/>
    <n v="901907732"/>
    <s v="TECNOTICS SAS"/>
    <x v="37"/>
    <x v="37"/>
    <n v="1896000"/>
    <n v="360240"/>
    <n v="0"/>
    <n v="0"/>
    <n v="0"/>
    <n v="2256240"/>
  </r>
  <r>
    <x v="0"/>
    <s v="cf2d746f9a7b5df87b2d6b8a92d6771cf30dd85fc305f91cade3256702f5012c3bda073dd134b116aad0856c3922baa9"/>
    <n v="246"/>
    <d v="2025-10-28T00:00:00"/>
    <n v="901907732"/>
    <s v="TECNOTICS SAS"/>
    <x v="36"/>
    <x v="36"/>
    <n v="2844000"/>
    <n v="540360"/>
    <n v="0"/>
    <n v="0"/>
    <n v="0"/>
    <n v="3384360"/>
  </r>
  <r>
    <x v="0"/>
    <s v="622b25b77c875d3a78a7bcd284f2151691ac7a748ec0063affbdfb4865ae477bfa96ae45e8867cf0c1ec22be281f7662"/>
    <n v="247"/>
    <d v="2025-10-28T00:00:00"/>
    <n v="901907732"/>
    <s v="TECNOTICS SAS"/>
    <x v="36"/>
    <x v="36"/>
    <n v="2182663.87"/>
    <n v="414706.13"/>
    <n v="0"/>
    <n v="0"/>
    <n v="0"/>
    <n v="2597370"/>
  </r>
  <r>
    <x v="0"/>
    <s v="b93acc71f4e0cfc128595bce599d9c5d3ac787a90ab85622fc91f213075b53886419a8cbf19c061a9c6c29cc9976a844"/>
    <n v="248"/>
    <d v="2025-11-02T00:00:00"/>
    <n v="901907732"/>
    <s v="TECNOTICS SAS"/>
    <x v="13"/>
    <x v="13"/>
    <n v="615000"/>
    <n v="116850"/>
    <n v="0"/>
    <n v="0"/>
    <n v="0"/>
    <n v="731850"/>
  </r>
  <r>
    <x v="0"/>
    <s v="f83fc29c0e726f415ee2db592356fa8844262c014ccc155c7d2e3ecabba86a4a50970ba5121421d31924a42bc1737454"/>
    <n v="249"/>
    <d v="2025-11-02T00:00:00"/>
    <n v="901907732"/>
    <s v="TECNOTICS SAS"/>
    <x v="30"/>
    <x v="30"/>
    <n v="350332"/>
    <n v="37050"/>
    <n v="0"/>
    <n v="0"/>
    <n v="0"/>
    <n v="387382"/>
  </r>
  <r>
    <x v="0"/>
    <s v="85e19c5769c29a8da3e415f71d54a58b17705714aaba74a50e02c45ffbae8404dd1e43b9f5c08eb8fb2a495a3e368d36"/>
    <n v="250"/>
    <d v="2025-11-02T00:00:00"/>
    <n v="901907732"/>
    <s v="TECNOTICS SAS"/>
    <x v="21"/>
    <x v="21"/>
    <n v="169326"/>
    <n v="0"/>
    <n v="0"/>
    <n v="0"/>
    <n v="0"/>
    <n v="169326"/>
  </r>
  <r>
    <x v="0"/>
    <s v="519407c50de799bc60586cd374d63a08ac422b65d9ed370250f951c1cb50fe8457f59740d7eaeeae8c57bdd487cc9d72"/>
    <n v="251"/>
    <d v="2025-11-02T00:00:00"/>
    <n v="901907732"/>
    <s v="TECNOTICS SAS"/>
    <x v="3"/>
    <x v="3"/>
    <n v="2600000"/>
    <n v="494000"/>
    <n v="0"/>
    <n v="0"/>
    <n v="0"/>
    <n v="3094000"/>
  </r>
  <r>
    <x v="0"/>
    <s v="e9c3c8fbe2003f10bee9a0530cb9d25ee942b5f95f68dfbcc0c920f3ef0dd77619968330ceafe8a324700e731fbfb3b1"/>
    <n v="252"/>
    <d v="2025-11-02T00:00:00"/>
    <n v="901907732"/>
    <s v="TECNOTICS SAS"/>
    <x v="9"/>
    <x v="9"/>
    <n v="2332250"/>
    <n v="218500"/>
    <n v="0"/>
    <n v="0"/>
    <n v="0"/>
    <n v="2550750"/>
  </r>
  <r>
    <x v="0"/>
    <s v="2ed6f082a565cf9335a8dae642880d08974b1aca0fd213781432c31764d546ba19fb2c90c17f0a6939daeb2e21e5c08e"/>
    <n v="253"/>
    <d v="2025-11-02T00:00:00"/>
    <n v="901907732"/>
    <s v="TECNOTICS SAS"/>
    <x v="20"/>
    <x v="20"/>
    <n v="903072"/>
    <n v="0"/>
    <n v="0"/>
    <n v="0"/>
    <n v="0"/>
    <n v="903072"/>
  </r>
  <r>
    <x v="0"/>
    <s v="08b79026786bcdcb5aa0dfaa662d89b32be603aa59984cdb246f17273b2a7aad1ae295e7564f759ba0a6f0a85f612f4a"/>
    <n v="254"/>
    <d v="2025-11-02T00:00:00"/>
    <n v="901907732"/>
    <s v="TECNOTICS SAS"/>
    <x v="17"/>
    <x v="17"/>
    <n v="7570000"/>
    <n v="0"/>
    <n v="0"/>
    <n v="0"/>
    <n v="0"/>
    <n v="7570000"/>
  </r>
  <r>
    <x v="0"/>
    <s v="51e668b8b654cb5082994682cdaec0d0c60eb45a169f0e23912076c219c63a07cd44954081bee9777e8572345bea2157"/>
    <n v="255"/>
    <d v="2025-11-02T00:00:00"/>
    <n v="901907732"/>
    <s v="TECNOTICS SAS"/>
    <x v="17"/>
    <x v="17"/>
    <n v="2435000"/>
    <n v="0"/>
    <n v="0"/>
    <n v="0"/>
    <n v="0"/>
    <n v="2435000"/>
  </r>
  <r>
    <x v="0"/>
    <s v="f9575e472e9864f95ce0324bdeda2d991116b16e4a87167071ed910ac39a9aa1a02e9bee2eb312a5d73e59085ebe53c0"/>
    <n v="256"/>
    <d v="2025-11-02T00:00:00"/>
    <n v="901907732"/>
    <s v="TECNOTICS SAS"/>
    <x v="1"/>
    <x v="1"/>
    <n v="200000"/>
    <n v="0"/>
    <n v="0"/>
    <n v="0"/>
    <n v="0"/>
    <n v="200000"/>
  </r>
  <r>
    <x v="0"/>
    <s v="92931473cc6f6f77640411a83dc9d91d619ba43599111a2db15f88995c44756a869434f75752dc6ea9f92ce2f2f37706"/>
    <n v="257"/>
    <d v="2025-11-02T00:00:00"/>
    <n v="901907732"/>
    <s v="TECNOTICS SAS"/>
    <x v="16"/>
    <x v="16"/>
    <n v="1510850"/>
    <n v="0"/>
    <n v="0"/>
    <n v="0"/>
    <n v="0"/>
    <n v="1510850"/>
  </r>
  <r>
    <x v="0"/>
    <s v="0c70db477e4ede7c3915263b7981094fa1a0efa2166ccba3aaa4a9ed9cb00985594a7acec0283258753e89a9cd91da71"/>
    <n v="258"/>
    <d v="2025-11-02T00:00:00"/>
    <n v="901907732"/>
    <s v="TECNOTICS SAS"/>
    <x v="16"/>
    <x v="16"/>
    <n v="2105000"/>
    <n v="399950"/>
    <n v="0"/>
    <n v="0"/>
    <n v="0"/>
    <n v="2504950"/>
  </r>
  <r>
    <x v="0"/>
    <s v="399192eeda176d04a02dbcbeb0c4e71edf33ace54ef5de56d69947bb7544a349ff3724a0c6dc240a306a892e8cae93a6"/>
    <n v="259"/>
    <d v="2025-11-02T00:00:00"/>
    <n v="901907732"/>
    <s v="TECNOTICS SAS"/>
    <x v="16"/>
    <x v="16"/>
    <n v="280000"/>
    <n v="0"/>
    <n v="0"/>
    <n v="0"/>
    <n v="0"/>
    <n v="280000"/>
  </r>
  <r>
    <x v="0"/>
    <s v="7ac5f28bcfb89ea0ad6f7baf6a1af966089d74cca1fb48a3d01d53e403567dd56607b695f5a77b79eb9fd413639d9b6e"/>
    <n v="260"/>
    <d v="2025-11-02T00:00:00"/>
    <n v="901907732"/>
    <s v="TECNOTICS SAS"/>
    <x v="16"/>
    <x v="16"/>
    <n v="355000"/>
    <n v="67450"/>
    <n v="0"/>
    <n v="0"/>
    <n v="0"/>
    <n v="422450"/>
  </r>
  <r>
    <x v="0"/>
    <s v="7f9b97cec71950816fece06c08adf47cff008de9d591670990850d12b8f7e71de79ccf03389b6ce3b8c71d4210e750ec"/>
    <n v="261"/>
    <d v="2025-11-02T00:00:00"/>
    <n v="901907732"/>
    <s v="TECNOTICS SAS"/>
    <x v="15"/>
    <x v="15"/>
    <n v="1950000"/>
    <n v="370500"/>
    <n v="0"/>
    <n v="0"/>
    <n v="0"/>
    <n v="2320500"/>
  </r>
  <r>
    <x v="0"/>
    <s v="6dad99d1eec92906fe0133ee53f2a3acd2e239eba8c449109ffc39dd34dca9d05c1f49d70c2fbf1d341adceaaf23f94e"/>
    <n v="262"/>
    <d v="2025-11-02T00:00:00"/>
    <n v="901907732"/>
    <s v="TECNOTICS SAS"/>
    <x v="15"/>
    <x v="15"/>
    <n v="18848750"/>
    <n v="0"/>
    <n v="0"/>
    <n v="0"/>
    <n v="0"/>
    <n v="18848750"/>
  </r>
  <r>
    <x v="0"/>
    <s v="b0fc0eb049d72d8ef68423522eab48d79d5c950c54b9d9dfc859dd074d958f84551c52a3df2ef8d26ced5bb699fa9e3e"/>
    <n v="263"/>
    <d v="2025-11-02T00:00:00"/>
    <n v="901907732"/>
    <s v="TECNOTICS SAS"/>
    <x v="11"/>
    <x v="11"/>
    <n v="192485"/>
    <n v="0"/>
    <n v="0"/>
    <n v="0"/>
    <n v="0"/>
    <n v="192485"/>
  </r>
  <r>
    <x v="0"/>
    <s v="1744d4a6c319bcf8303c357949461765577a18c6bfbb73ae9addf35af42915878714ab75614804db6c38942395d5b696"/>
    <n v="264"/>
    <d v="2025-11-02T00:00:00"/>
    <n v="901907732"/>
    <s v="TECNOTICS SAS"/>
    <x v="6"/>
    <x v="6"/>
    <n v="432000"/>
    <n v="0"/>
    <n v="0"/>
    <n v="0"/>
    <n v="0"/>
    <n v="432000"/>
  </r>
  <r>
    <x v="0"/>
    <s v="19a50ff0fd8f25d339a0ca14e4c394fcdf283373566c4d6d232c3e8cbe15ede39f18ed4f1b970c01f9c11d1a67127767"/>
    <n v="265"/>
    <d v="2025-11-02T00:00:00"/>
    <n v="901907732"/>
    <s v="TECNOTICS SAS"/>
    <x v="5"/>
    <x v="5"/>
    <n v="365781"/>
    <n v="0"/>
    <n v="0"/>
    <n v="0"/>
    <n v="0"/>
    <n v="365781"/>
  </r>
  <r>
    <x v="0"/>
    <s v="6874a11780db05664e0d2d9ac25057d74ae42a81609f25e29dd93d7579e4a53541c27ba430960a0c0060368e583cce81"/>
    <n v="266"/>
    <d v="2025-11-02T00:00:00"/>
    <n v="901907732"/>
    <s v="TECNOTICS SAS"/>
    <x v="2"/>
    <x v="2"/>
    <n v="654500"/>
    <n v="124355"/>
    <n v="0"/>
    <n v="0"/>
    <n v="0"/>
    <n v="778855"/>
  </r>
  <r>
    <x v="0"/>
    <s v="3883b3eca7b677e7c52807ee042e57f017c0aec7120b123456eb8d6aeeebc5a3c0e22e2ec970844eb09fadc8c16d3938"/>
    <n v="267"/>
    <d v="2025-11-02T00:00:00"/>
    <n v="901907732"/>
    <s v="TECNOTICS SAS"/>
    <x v="0"/>
    <x v="0"/>
    <n v="550000"/>
    <n v="104500"/>
    <n v="0"/>
    <n v="0"/>
    <n v="0"/>
    <n v="654500"/>
  </r>
  <r>
    <x v="0"/>
    <s v="9bcbf1c68c3b941fe879b73e6b1f979acf8cd1ebdfffe84a9f570f0af423dfb97aebe2b6826fbfea2c5cb1d54c48e4ef"/>
    <n v="268"/>
    <d v="2025-11-02T00:00:00"/>
    <n v="901907732"/>
    <s v="TECNOTICS SAS"/>
    <x v="14"/>
    <x v="14"/>
    <n v="3189240"/>
    <n v="324900"/>
    <n v="0"/>
    <n v="0"/>
    <n v="0"/>
    <n v="3514140"/>
  </r>
  <r>
    <x v="0"/>
    <s v="ada34b1b806530afe32a3d0114f8520b6cc4174e78b936d57f7cb999b0362db8cb6a5627a894a266a11b2cd8457b067f"/>
    <n v="269"/>
    <d v="2025-11-02T00:00:00"/>
    <n v="901907732"/>
    <s v="TECNOTICS SAS"/>
    <x v="14"/>
    <x v="14"/>
    <n v="1020000"/>
    <n v="193800"/>
    <n v="0"/>
    <n v="0"/>
    <n v="0"/>
    <n v="1213800"/>
  </r>
  <r>
    <x v="0"/>
    <s v="076f8044986fcd68d74eddc8620a417052263edf5b5c1577ae8987c2426bd996923d51e62dc45c4e5795cb76743654c5"/>
    <n v="270"/>
    <d v="2025-11-02T00:00:00"/>
    <n v="901907732"/>
    <s v="TECNOTICS SAS"/>
    <x v="10"/>
    <x v="10"/>
    <n v="900000"/>
    <n v="171000"/>
    <n v="0"/>
    <n v="0"/>
    <n v="0"/>
    <n v="1071000"/>
  </r>
  <r>
    <x v="0"/>
    <s v="cbbef2dee0bb6cb7a1ac85691c25b3833a27b4adc2b417af4a1785b3e70813fb5c045a6ae436839e81206f725a5af6dd"/>
    <n v="271"/>
    <d v="2025-11-02T00:00:00"/>
    <n v="901907732"/>
    <s v="TECNOTICS SAS"/>
    <x v="36"/>
    <x v="36"/>
    <n v="1400000"/>
    <n v="266000"/>
    <n v="0"/>
    <n v="0"/>
    <n v="0"/>
    <n v="1666000"/>
  </r>
  <r>
    <x v="0"/>
    <s v="d911ac9a65b9e41593329204b3736fd9cd9b8fa8176422a2598be7dca681206c1517bbeb6c10e5468231b1c433267c4b"/>
    <n v="272"/>
    <d v="2025-11-04T00:00:00"/>
    <n v="901907732"/>
    <s v="TECNOTICS SAS"/>
    <x v="33"/>
    <x v="33"/>
    <n v="650000"/>
    <n v="123500"/>
    <n v="0"/>
    <n v="0"/>
    <n v="0"/>
    <n v="773500"/>
  </r>
  <r>
    <x v="0"/>
    <s v="320500ca6d4d43f8f4007819f0b2aa8db9d97052ff713fa658dfe3fd0cb56346822ee97ec92069725444c4f1c675dbb7"/>
    <n v="273"/>
    <d v="2025-11-04T00:00:00"/>
    <n v="901907732"/>
    <s v="TECNOTICS SAS"/>
    <x v="17"/>
    <x v="17"/>
    <n v="425000"/>
    <n v="0"/>
    <n v="0"/>
    <n v="0"/>
    <n v="0"/>
    <n v="425000"/>
  </r>
  <r>
    <x v="0"/>
    <s v="721dc2211810458a22c34920e256425eb31fa5de183b10aebed30aeab9d54354601164bf39f38a7b5e9bbb1515fd48a0"/>
    <n v="274"/>
    <d v="2025-11-04T00:00:00"/>
    <n v="901907732"/>
    <s v="TECNOTICS SAS"/>
    <x v="37"/>
    <x v="37"/>
    <n v="4644000"/>
    <n v="0"/>
    <n v="0"/>
    <n v="0"/>
    <n v="0"/>
    <n v="4644000"/>
  </r>
  <r>
    <x v="0"/>
    <s v="7724100fa7a2708e18030da879004ffcee484dfbd0e3d75b33ecc57a71587ed91b9da7c6e7f7c1ecae16adbf6fcb188e"/>
    <n v="275"/>
    <d v="2025-11-05T00:00:00"/>
    <n v="901907732"/>
    <s v="TECNOTICS SAS"/>
    <x v="3"/>
    <x v="3"/>
    <n v="1645000"/>
    <n v="312550"/>
    <n v="0"/>
    <n v="0"/>
    <n v="0"/>
    <n v="1957550"/>
  </r>
  <r>
    <x v="0"/>
    <s v="ad762ee67f712afc8e4a750fd5124b70a5af70ecb4596531473e0de890c15aaf1a9387a1c307d4b55e9b146d3b656e53"/>
    <n v="276"/>
    <d v="2025-11-07T00:00:00"/>
    <n v="901907732"/>
    <s v="TECNOTICS SAS"/>
    <x v="10"/>
    <x v="10"/>
    <n v="1160250"/>
    <n v="0"/>
    <n v="0"/>
    <n v="0"/>
    <n v="0"/>
    <n v="1160250"/>
  </r>
  <r>
    <x v="0"/>
    <s v="5b7d7774a135edde929eb901c69ab6492f114ea61b89a82ad4924e04f2a21f66e7c50b15f2426ff9d481b0e1e45bb27a"/>
    <n v="277"/>
    <d v="2025-11-12T00:00:00"/>
    <n v="901907732"/>
    <s v="TECNOTICS SAS"/>
    <x v="14"/>
    <x v="14"/>
    <n v="1244546.22"/>
    <n v="236463.78"/>
    <n v="0"/>
    <n v="0"/>
    <n v="0"/>
    <n v="1481010"/>
  </r>
  <r>
    <x v="0"/>
    <s v="c397279950ffa7175f1bf79010196fe9aaded6044e7b4b1fb7548184dde3b5051d94035cb3f90e985069123733bf73ca"/>
    <n v="278"/>
    <d v="2025-11-14T00:00:00"/>
    <n v="901907732"/>
    <s v="TECNOTICS SAS"/>
    <x v="14"/>
    <x v="14"/>
    <n v="975546.22"/>
    <n v="185353.78"/>
    <n v="0"/>
    <n v="0"/>
    <n v="0"/>
    <n v="1160900"/>
  </r>
  <r>
    <x v="0"/>
    <s v="2ec0e487b481861633c1062001adb599dbd82073076e3d83050361c67f09499b501d4c69e56460a7e89a3713d1e554b7"/>
    <n v="279"/>
    <d v="2025-11-20T00:00:00"/>
    <n v="901907732"/>
    <s v="TECNOTICS SAS"/>
    <x v="39"/>
    <x v="39"/>
    <n v="900000"/>
    <n v="171000"/>
    <n v="0"/>
    <n v="0"/>
    <n v="0"/>
    <n v="1071000"/>
  </r>
  <r>
    <x v="0"/>
    <s v="dfdbdcdafb5022f143f9a466babbe10fb15f4b3cf9feda683a850528d9de7139791e1e472aecf7bd7eff771d5cc71ddf"/>
    <n v="280"/>
    <d v="2025-11-20T00:00:00"/>
    <n v="901907732"/>
    <s v="TECNOTICS SAS"/>
    <x v="2"/>
    <x v="2"/>
    <n v="315126.05"/>
    <n v="59873.95"/>
    <n v="0"/>
    <n v="0"/>
    <n v="0"/>
    <n v="375000"/>
  </r>
  <r>
    <x v="0"/>
    <s v="ee193895e0f13be434210665b5131216a378e70a36bc4547f3b2d4db2ed5d4f1e284eebf2f8ef58416636b698131ae24"/>
    <n v="281"/>
    <d v="2025-11-20T00:00:00"/>
    <n v="901907732"/>
    <s v="TECNOTICS SAS"/>
    <x v="36"/>
    <x v="36"/>
    <n v="657000"/>
    <n v="124830"/>
    <n v="0"/>
    <n v="0"/>
    <n v="0"/>
    <n v="781830"/>
  </r>
  <r>
    <x v="0"/>
    <s v="169be7789e41f00d8391c203f0bde517c7ac39a0a4e0ac39106863ac996e61573c206d28b96cd3444c74673ed4159f13"/>
    <n v="282"/>
    <d v="2025-11-20T00:00:00"/>
    <n v="901907732"/>
    <s v="TECNOTICS SAS"/>
    <x v="10"/>
    <x v="10"/>
    <n v="570000"/>
    <n v="0"/>
    <n v="0"/>
    <n v="0"/>
    <n v="0"/>
    <n v="570000"/>
  </r>
  <r>
    <x v="0"/>
    <s v="3c4f9d16b74d0a0d46e9e00d8498e487b78273684a7f84387c6d312981cec92f5c30cb97683af134ddd684c1c31dbc72"/>
    <n v="283"/>
    <d v="2025-11-26T00:00:00"/>
    <n v="901907732"/>
    <s v="TECNOTICS SAS"/>
    <x v="40"/>
    <x v="40"/>
    <n v="650000"/>
    <n v="123500"/>
    <n v="0"/>
    <n v="0"/>
    <n v="0"/>
    <n v="773500"/>
  </r>
  <r>
    <x v="0"/>
    <s v="5b1fed951c463a2c434164fd36e62e29cd02b03a522dd2cef6f2948038a071e9c082b26ce0708e9d71ac3b4ddcb34449"/>
    <n v="284"/>
    <d v="2025-12-02T00:00:00"/>
    <n v="901907732"/>
    <s v="TECNOTICS SAS"/>
    <x v="21"/>
    <x v="21"/>
    <n v="169326"/>
    <n v="0"/>
    <n v="0"/>
    <n v="0"/>
    <n v="0"/>
    <n v="169326"/>
  </r>
  <r>
    <x v="0"/>
    <s v="0c14b352f9e4d9e4092ac59a45e4259b67d078dd98b203d9b1882047f8a4f23cdd5c71f595c8ebd9fbf3f44fe7255d7e"/>
    <n v="285"/>
    <d v="2025-12-02T00:00:00"/>
    <n v="901907732"/>
    <s v="TECNOTICS SAS"/>
    <x v="3"/>
    <x v="3"/>
    <n v="2600000"/>
    <n v="494000"/>
    <n v="0"/>
    <n v="0"/>
    <n v="0"/>
    <n v="3094000"/>
  </r>
  <r>
    <x v="0"/>
    <s v="232eacc763b619ae35a715935ed880f2a3a16f8b426f23291c30ad384a083616d3500ae735cdf856dbbbf253265274d2"/>
    <n v="286"/>
    <d v="2025-12-02T00:00:00"/>
    <n v="901907732"/>
    <s v="TECNOTICS SAS"/>
    <x v="9"/>
    <x v="9"/>
    <n v="2264237"/>
    <n v="276137.07"/>
    <n v="0"/>
    <n v="0"/>
    <n v="0"/>
    <n v="2540374.0699999998"/>
  </r>
  <r>
    <x v="0"/>
    <s v="d20e93dc6655e615f78e92d9a7874ccf047a8ef27f8ddc5dbaf9ea37fe16c1f8b893ac3d533564291b0c7dda0b70d2ab"/>
    <n v="287"/>
    <d v="2025-12-02T00:00:00"/>
    <n v="901907732"/>
    <s v="TECNOTICS SAS"/>
    <x v="20"/>
    <x v="20"/>
    <n v="903072"/>
    <n v="0"/>
    <n v="0"/>
    <n v="0"/>
    <n v="0"/>
    <n v="903072"/>
  </r>
  <r>
    <x v="0"/>
    <s v="c3d38b6a5530c6423024e8d1289db6fafc3019f4dd81bddfee2f116c43a6e7b0eaa41259da8c7194504ee05743a15ae5"/>
    <n v="288"/>
    <d v="2025-12-02T00:00:00"/>
    <n v="901907732"/>
    <s v="TECNOTICS SAS"/>
    <x v="17"/>
    <x v="17"/>
    <n v="6575000"/>
    <n v="0"/>
    <n v="0"/>
    <n v="0"/>
    <n v="0"/>
    <n v="6575000"/>
  </r>
  <r>
    <x v="0"/>
    <s v="6ab86e126a1293fad255f47e8857d63625bb055f984825404dcc9b4f2724f50715b7b4ffaf1cf4777454e77dd4d3b44b"/>
    <n v="289"/>
    <d v="2025-12-02T00:00:00"/>
    <n v="901907732"/>
    <s v="TECNOTICS SAS"/>
    <x v="17"/>
    <x v="17"/>
    <n v="2720000"/>
    <n v="0"/>
    <n v="0"/>
    <n v="0"/>
    <n v="0"/>
    <n v="2720000"/>
  </r>
  <r>
    <x v="0"/>
    <s v="fa160d5925d676429c80a7611811e60e2b41aab70038a49d920d49c58710d1d2abff956471530f19a339a02571c20337"/>
    <n v="290"/>
    <d v="2025-12-02T00:00:00"/>
    <n v="901907732"/>
    <s v="TECNOTICS SAS"/>
    <x v="1"/>
    <x v="1"/>
    <n v="200000"/>
    <n v="38000"/>
    <n v="0"/>
    <n v="0"/>
    <n v="0"/>
    <n v="238000"/>
  </r>
  <r>
    <x v="0"/>
    <s v="f1d63f98910f61b43a047c3286a4c03b3f304c5ed251407ce3ae8c31fecb2dfec5bb05b2ec2f510bf5c108198cecfcae"/>
    <n v="291"/>
    <d v="2025-12-02T00:00:00"/>
    <n v="901907732"/>
    <s v="TECNOTICS SAS"/>
    <x v="25"/>
    <x v="25"/>
    <n v="10742964"/>
    <n v="0"/>
    <n v="0"/>
    <n v="0"/>
    <n v="0"/>
    <n v="10742964"/>
  </r>
  <r>
    <x v="0"/>
    <s v="540fdf9a6f71da3fd174dbdb6386cc26daa8614faa5814327298798a0961f1b9356b994dffc519ea34941acc7d28df1b"/>
    <n v="292"/>
    <d v="2025-12-09T00:00:00"/>
    <n v="901907732"/>
    <s v="TECNOTICS SAS"/>
    <x v="16"/>
    <x v="16"/>
    <n v="2105000"/>
    <n v="399950"/>
    <n v="0"/>
    <n v="0"/>
    <n v="0"/>
    <n v="2504950"/>
  </r>
  <r>
    <x v="0"/>
    <s v="f1b1316d7252ae265e2d85b8f86ba045213a64b84fceb98809e4246345369a219290c9811d4750dce094fe7c5a3c8541"/>
    <n v="293"/>
    <d v="2025-12-09T00:00:00"/>
    <n v="901907732"/>
    <s v="TECNOTICS SAS"/>
    <x v="16"/>
    <x v="16"/>
    <n v="1590990"/>
    <n v="0"/>
    <n v="0"/>
    <n v="0"/>
    <n v="0"/>
    <n v="1590990"/>
  </r>
  <r>
    <x v="0"/>
    <s v="8d39f642ca2328bbca67742d597eaa7187745cc6f0cbccee41cf4d73120dec8e1e2189d0cc8bcaec939135f88ea2d577"/>
    <n v="294"/>
    <d v="2025-12-09T00:00:00"/>
    <n v="901907732"/>
    <s v="TECNOTICS SAS"/>
    <x v="16"/>
    <x v="16"/>
    <n v="280000"/>
    <n v="0"/>
    <n v="0"/>
    <n v="0"/>
    <n v="0"/>
    <n v="280000"/>
  </r>
  <r>
    <x v="0"/>
    <s v="c3b91ba34297489207d4e0f755cbc721b79cd49e0ecb4f334ec57b1088bf13825574bd779f0381e251bf5d392b152196"/>
    <n v="295"/>
    <d v="2025-12-09T00:00:00"/>
    <n v="901907732"/>
    <s v="TECNOTICS SAS"/>
    <x v="11"/>
    <x v="11"/>
    <n v="192485"/>
    <n v="0"/>
    <n v="0"/>
    <n v="0"/>
    <n v="0"/>
    <n v="192485"/>
  </r>
  <r>
    <x v="0"/>
    <s v="8df1de75721bc683d7afcfc5266dc11720cdce960fb905e6bdffb0e5d03b1cd7a90926da5d0a5084544134adf0df3140"/>
    <n v="296"/>
    <d v="2025-12-09T00:00:00"/>
    <n v="901907732"/>
    <s v="TECNOTICS SAS"/>
    <x v="6"/>
    <x v="6"/>
    <n v="432000"/>
    <n v="0"/>
    <n v="0"/>
    <n v="0"/>
    <n v="0"/>
    <n v="432000"/>
  </r>
  <r>
    <x v="0"/>
    <s v="6fa9ab165c0a2202f45a255dc0e0fac78e044c94ad5d04333f9da4840ebe832f3f38eb7fdb5bc323f84dfe0bf01defd5"/>
    <n v="297"/>
    <d v="2025-12-09T00:00:00"/>
    <n v="901907732"/>
    <s v="TECNOTICS SAS"/>
    <x v="5"/>
    <x v="5"/>
    <n v="365781"/>
    <n v="0"/>
    <n v="0"/>
    <n v="0"/>
    <n v="0"/>
    <n v="365781"/>
  </r>
  <r>
    <x v="0"/>
    <s v="cf165e7642fadf4298e5d47247cda00df9bf1ab84e54edcd797441f2ac2584386588f9f35537c0d324c40c31caea2712"/>
    <n v="298"/>
    <d v="2025-12-09T00:00:00"/>
    <n v="901907732"/>
    <s v="TECNOTICS SAS"/>
    <x v="2"/>
    <x v="2"/>
    <n v="654500"/>
    <n v="124355"/>
    <n v="0"/>
    <n v="0"/>
    <n v="0"/>
    <n v="778855"/>
  </r>
  <r>
    <x v="0"/>
    <s v="bc3069dee9eaf4705bec44792ed1011b77bee5e9ae1046aaf96a78e4a0141cfa162e31ac3180c308b53869c70d5d747c"/>
    <n v="299"/>
    <d v="2025-12-09T00:00:00"/>
    <n v="901907732"/>
    <s v="TECNOTICS SAS"/>
    <x v="0"/>
    <x v="0"/>
    <n v="550000"/>
    <n v="104500"/>
    <n v="0"/>
    <n v="0"/>
    <n v="0"/>
    <n v="654500"/>
  </r>
  <r>
    <x v="0"/>
    <s v="be482e03d56716388033d53852093e98904a30cff279c46c7f2e7595775fc4e45c42d2e7163b3da426ec1ecb99f3234d"/>
    <n v="300"/>
    <d v="2025-12-09T00:00:00"/>
    <n v="901907732"/>
    <s v="TECNOTICS SAS"/>
    <x v="14"/>
    <x v="14"/>
    <n v="2215496"/>
    <n v="171000"/>
    <n v="0"/>
    <n v="0"/>
    <n v="0"/>
    <n v="2386496"/>
  </r>
  <r>
    <x v="0"/>
    <s v="1263054b726c18cf839e84013d0cee7d0da6f1e0133a26ee132e735004d123f8c30b2eadabd8513abff26d03000bb21d"/>
    <n v="301"/>
    <d v="2025-12-09T00:00:00"/>
    <n v="901907732"/>
    <s v="TECNOTICS SAS"/>
    <x v="10"/>
    <x v="10"/>
    <n v="900000"/>
    <n v="171000"/>
    <n v="0"/>
    <n v="0"/>
    <n v="0"/>
    <n v="1071000"/>
  </r>
  <r>
    <x v="0"/>
    <s v="44430a5644eb6f711dc5be602eac4f49a9a01c5cbfce835aabd0027f8c1bb5a226715b23b77c2132e3edf1eeca997738"/>
    <n v="302"/>
    <d v="2025-12-09T00:00:00"/>
    <n v="901907732"/>
    <s v="TECNOTICS SAS"/>
    <x v="36"/>
    <x v="36"/>
    <n v="1400000"/>
    <n v="266000"/>
    <n v="0"/>
    <n v="0"/>
    <n v="0"/>
    <n v="1666000"/>
  </r>
  <r>
    <x v="0"/>
    <s v="c33ff844ac4ef4fd4567b6e4e958023ff9c4d45bf119d8842a4cd83633aa6ed5410acbe693dbbafc38af583b40c95074"/>
    <n v="303"/>
    <d v="2025-12-09T00:00:00"/>
    <n v="901907732"/>
    <s v="TECNOTICS SAS"/>
    <x v="14"/>
    <x v="14"/>
    <n v="157200"/>
    <n v="29868"/>
    <n v="0"/>
    <n v="0"/>
    <n v="0"/>
    <n v="187068"/>
  </r>
  <r>
    <x v="0"/>
    <s v="5b06042205f8519013377be1e0211be6592eb29caeba3e643e0872d143f6bee80c6e29e94fb3fcb2b485b612f4cc5ba5"/>
    <n v="304"/>
    <d v="2025-12-09T00:00:00"/>
    <n v="901907732"/>
    <s v="TECNOTICS SAS"/>
    <x v="10"/>
    <x v="10"/>
    <n v="162000"/>
    <n v="30780"/>
    <n v="0"/>
    <n v="0"/>
    <n v="0"/>
    <n v="192780"/>
  </r>
  <r>
    <x v="0"/>
    <s v="3abf891a0b31837544e26ffb2cec0d157393c4c8c0f66f257a668e818881eff91775e2e97d1099426ecb5a2aca164039"/>
    <n v="305"/>
    <d v="2025-12-09T00:00:00"/>
    <n v="901907732"/>
    <s v="TECNOTICS SAS"/>
    <x v="10"/>
    <x v="10"/>
    <n v="50462.18"/>
    <n v="9587.82"/>
    <n v="0"/>
    <n v="0"/>
    <n v="0"/>
    <n v="60050"/>
  </r>
  <r>
    <x v="0"/>
    <s v="6bbfa15140b8483e7b5433bbdf3c5eaacd4ca3bd4b06a5042b8eda6f9b495736d6b17899c1d5469a193c539a57c4ceee"/>
    <n v="306"/>
    <d v="2025-12-15T00:00:00"/>
    <n v="901907732"/>
    <s v="TECNOTICS SAS"/>
    <x v="9"/>
    <x v="9"/>
    <n v="3744000"/>
    <n v="0"/>
    <n v="0"/>
    <n v="0"/>
    <n v="0"/>
    <n v="3744000"/>
  </r>
  <r>
    <x v="0"/>
    <s v="3371bb129199fd3e596ed81c6eff0ec1098e378968b3d2b1d154521b411be30de818d6fd28710daf240931fcc242ddd7"/>
    <n v="307"/>
    <d v="2025-12-17T00:00:00"/>
    <n v="901907732"/>
    <s v="TECNOTICS SAS"/>
    <x v="16"/>
    <x v="16"/>
    <n v="2430000"/>
    <n v="461700"/>
    <n v="0"/>
    <n v="0"/>
    <n v="0"/>
    <n v="2891700"/>
  </r>
  <r>
    <x v="0"/>
    <s v="f46523e26b862d0eba3f8046a5751936cdb7b90791990623acc132be71a6396f90d5d775cb952f0e12d9ebb7e88715a8"/>
    <n v="308"/>
    <d v="2025-12-17T00:00:00"/>
    <n v="901907732"/>
    <s v="TECNOTICS SAS"/>
    <x v="16"/>
    <x v="16"/>
    <n v="180000"/>
    <n v="34200"/>
    <n v="0"/>
    <n v="0"/>
    <n v="0"/>
    <n v="214200"/>
  </r>
  <r>
    <x v="0"/>
    <s v="a9e636a20e86c69c823229e1b89b7143c00de70ca78fa3ad7edd9c99aad5db22988ffd9aebedf66b679c046918ec8fe3"/>
    <n v="309"/>
    <d v="2025-12-17T00:00:00"/>
    <n v="901907732"/>
    <s v="TECNOTICS SAS"/>
    <x v="41"/>
    <x v="41"/>
    <n v="1360000"/>
    <n v="258400"/>
    <n v="0"/>
    <n v="0"/>
    <n v="0"/>
    <n v="1618400"/>
  </r>
  <r>
    <x v="0"/>
    <s v="b39ca8f1cc31a5afff6e96134f8b3ca01122f2c20fc4115c374df5c00b0119b00b82c9c4ab94af08e46f9a5592721db6"/>
    <n v="310"/>
    <d v="2025-12-17T00:00:00"/>
    <n v="901907732"/>
    <s v="TECNOTICS SAS"/>
    <x v="3"/>
    <x v="3"/>
    <n v="27069164"/>
    <n v="5143141.16"/>
    <n v="0"/>
    <n v="0"/>
    <n v="0"/>
    <n v="32212305.16"/>
  </r>
  <r>
    <x v="0"/>
    <s v="483000d4ef430aa1c2818ad9608f16dbf0142062d6a281bfd4f54f2617c5216e1a3dbf951ffaf0d1275c4b418fa1da3c"/>
    <n v="311"/>
    <d v="2025-12-19T00:00:00"/>
    <n v="901907732"/>
    <s v="TECNOTICS SAS"/>
    <x v="42"/>
    <x v="42"/>
    <n v="160000"/>
    <n v="30400"/>
    <n v="0"/>
    <n v="0"/>
    <n v="0"/>
    <n v="190400"/>
  </r>
  <r>
    <x v="0"/>
    <s v="1668af3aa894352c3b8db32bc3df17def5791319df6fae20bc09d7a08af0b3c9d6733d29a912c93d1f9a130a318e2259"/>
    <n v="312"/>
    <d v="2025-12-23T00:00:00"/>
    <n v="901907732"/>
    <s v="TECNOTICS SAS"/>
    <x v="37"/>
    <x v="37"/>
    <n v="3000000"/>
    <n v="0"/>
    <n v="0"/>
    <n v="0"/>
    <n v="0"/>
    <n v="3000000"/>
  </r>
  <r>
    <x v="0"/>
    <s v="ecc97bb55f4022ba5c958fa4f912faa98878b8dc9d632715eda550e747d3f65c9dac37ffc7cc9c0f1a01df9df1d5abdd"/>
    <n v="313"/>
    <d v="2025-12-23T00:00:00"/>
    <n v="901907732"/>
    <s v="TECNOTICS SAS"/>
    <x v="10"/>
    <x v="10"/>
    <n v="180000"/>
    <n v="34200"/>
    <n v="0"/>
    <n v="0"/>
    <n v="0"/>
    <n v="214200"/>
  </r>
  <r>
    <x v="0"/>
    <s v="0c91f73c6d8f6ee06fbac08e651c2750cf1a6595844b1d7c23ccd6543b022afb017d0c7c5848bc1fb252bbfcc1a3b55d"/>
    <n v="314"/>
    <d v="2025-12-29T00:00:00"/>
    <n v="901907732"/>
    <s v="TECNOTICS SAS"/>
    <x v="36"/>
    <x v="36"/>
    <n v="2100000"/>
    <n v="399000"/>
    <n v="0"/>
    <n v="0"/>
    <n v="0"/>
    <n v="2499000"/>
  </r>
  <r>
    <x v="0"/>
    <s v="45d405014138d78ac70bd0ce7fbe98854c25512dbe83c401157fc3f56e4e9a00d44b6cfa0151febed662c0a2268b8c51"/>
    <n v="315"/>
    <d v="2025-12-29T00:00:00"/>
    <n v="901907732"/>
    <s v="TECNOTICS SAS"/>
    <x v="37"/>
    <x v="37"/>
    <n v="2100000"/>
    <n v="399000"/>
    <n v="0"/>
    <n v="0"/>
    <n v="0"/>
    <n v="2499000"/>
  </r>
  <r>
    <x v="0"/>
    <s v="88f07b8834ddb694b2a79c12e2d02082caad09932b233730f6d97ec405f6703a3bea99203963f6856aa313816a4d5228"/>
    <n v="316"/>
    <d v="2025-12-29T00:00:00"/>
    <n v="901907732"/>
    <s v="TECNOTICS SAS"/>
    <x v="15"/>
    <x v="15"/>
    <n v="18720000"/>
    <n v="3556800"/>
    <n v="0"/>
    <n v="0"/>
    <n v="0"/>
    <n v="22276800"/>
  </r>
  <r>
    <x v="0"/>
    <s v="2c08dbc901779beeb0abac73c0a4e2072e210913f2b5c518de54c76ed9ea90e3d1dd1d06e61d04a853b3b60ef343b9f4"/>
    <n v="317"/>
    <d v="2025-12-30T00:00:00"/>
    <n v="901907732"/>
    <s v="TECNOTICS SAS"/>
    <x v="10"/>
    <x v="10"/>
    <n v="6460000"/>
    <n v="0"/>
    <n v="0"/>
    <n v="0"/>
    <n v="0"/>
    <n v="6460000"/>
  </r>
  <r>
    <x v="1"/>
    <s v="6337f55a1f7bee8e17b6fd6a52d49da9ef1f875222dfd6037c781e9acc6ada0cb072de4681eb32c2a264df36a420ca54"/>
    <s v="NC21"/>
    <d v="2025-03-07T00:00:00"/>
    <n v="901907732"/>
    <s v="TECNOTICS SAS"/>
    <x v="5"/>
    <x v="5"/>
    <n v="-367811"/>
    <n v="0"/>
    <n v="0"/>
    <n v="0"/>
    <n v="0"/>
    <n v="-367811"/>
  </r>
  <r>
    <x v="1"/>
    <s v="0962a335e07554d51ee7bdfac2a691ea5713985e9e1c9d83bc474cf3249c6ce191b099265a416358787b0c528501df97"/>
    <s v="NC210"/>
    <d v="2025-08-01T00:00:00"/>
    <n v="901907732"/>
    <s v="TECNOTICS SAS"/>
    <x v="9"/>
    <x v="9"/>
    <n v="-3110206"/>
    <n v="-218500"/>
    <n v="0"/>
    <n v="0"/>
    <n v="0"/>
    <n v="-3328706"/>
  </r>
  <r>
    <x v="1"/>
    <s v="4805a21884b61c4fda831bd82c76debecb1530f6b098bcab3b3d5260a8cb8f85a29d1b212644b171a640401b8dff2fa0"/>
    <s v="NC211"/>
    <d v="2025-08-29T00:00:00"/>
    <n v="901907732"/>
    <s v="TECNOTICS SAS"/>
    <x v="2"/>
    <x v="2"/>
    <n v="-8150000"/>
    <n v="-43700"/>
    <n v="0"/>
    <n v="0"/>
    <n v="0"/>
    <n v="-8193700"/>
  </r>
  <r>
    <x v="1"/>
    <s v="57e129a39630a44ae62e80b65aa7e982213cea72279af70ed534997ebedc618d33d7a7d2697cfec1edd19bc53797d98a"/>
    <s v="NC212"/>
    <d v="2025-10-10T00:00:00"/>
    <n v="901907732"/>
    <s v="TECNOTICS SAS"/>
    <x v="4"/>
    <x v="4"/>
    <n v="-16875000"/>
    <n v="0"/>
    <n v="0"/>
    <n v="0"/>
    <n v="0"/>
    <n v="-16875000"/>
  </r>
  <r>
    <x v="1"/>
    <s v="9793693d019c9ab9cd1a27c53aab9e03fb42c6bb80606edb80108c87b41f1003e6526318c986ead641ec025d371157bf"/>
    <s v="NC213"/>
    <d v="2025-10-17T00:00:00"/>
    <n v="901907732"/>
    <s v="TECNOTICS SAS"/>
    <x v="16"/>
    <x v="16"/>
    <n v="-456000"/>
    <n v="-86640"/>
    <n v="0"/>
    <n v="0"/>
    <n v="0"/>
    <n v="-542640"/>
  </r>
  <r>
    <x v="1"/>
    <s v="6a61e930a99d229bd24221bcccc26aa60aaa6b11fae51798eab72cab1f1bdd60e407afa8b8eff92f44208563d429c6e1"/>
    <s v="NC214"/>
    <d v="2025-10-25T00:00:00"/>
    <n v="901907732"/>
    <s v="TECNOTICS SAS"/>
    <x v="37"/>
    <x v="37"/>
    <n v="-1550000"/>
    <n v="-57000"/>
    <n v="0"/>
    <n v="0"/>
    <n v="0"/>
    <n v="-1607000"/>
  </r>
  <r>
    <x v="1"/>
    <s v="0c4b839113e765fb7442cc03cd44630c5a0530e33769ef14f0e49190e659f9e28e5ee911e8606d51c6df0c9e26b0dee1"/>
    <s v="NC215"/>
    <d v="2025-10-25T00:00:00"/>
    <n v="901907732"/>
    <s v="TECNOTICS SAS"/>
    <x v="36"/>
    <x v="36"/>
    <n v="-1550000"/>
    <n v="0"/>
    <n v="0"/>
    <n v="0"/>
    <n v="0"/>
    <n v="-1550000"/>
  </r>
  <r>
    <x v="1"/>
    <s v="41163a4559d4a60e00d26ac513fc6677f289985fa77066283f2dadebeb10f761a22eeb52109512547243e4d19ea05a3c"/>
    <s v="NC216"/>
    <d v="2025-11-02T00:00:00"/>
    <n v="901907732"/>
    <s v="TECNOTICS SAS"/>
    <x v="12"/>
    <x v="12"/>
    <n v="-868854"/>
    <n v="0"/>
    <n v="0"/>
    <n v="0"/>
    <n v="0"/>
    <n v="-868854"/>
  </r>
  <r>
    <x v="1"/>
    <s v="e76db0627546ce847a644d55c9cdb1dc026a6910a97ba9c741ccb63128a906991a853bb874ed350c2982b9295874ed8c"/>
    <s v="NC217"/>
    <d v="2025-11-12T00:00:00"/>
    <n v="901907732"/>
    <s v="TECNOTICS SAS"/>
    <x v="14"/>
    <x v="14"/>
    <n v="-1020000"/>
    <n v="-193800"/>
    <n v="0"/>
    <n v="0"/>
    <n v="0"/>
    <n v="-1213800"/>
  </r>
  <r>
    <x v="1"/>
    <s v="7a8ffb4f608d05c82cae350daf681dd91a0c4ba0391349c142ee01efc2e7c24cfa65a024acfa6fb48fae3450fa7920b8"/>
    <s v="NC218"/>
    <d v="2025-11-14T00:00:00"/>
    <n v="901907732"/>
    <s v="TECNOTICS SAS"/>
    <x v="14"/>
    <x v="14"/>
    <n v="-1244546.22"/>
    <n v="-236463.78"/>
    <n v="0"/>
    <n v="0"/>
    <n v="0"/>
    <n v="-1481010"/>
  </r>
  <r>
    <x v="1"/>
    <s v="6a7423df234b0703d5e63b72a4dd47fe99b6bb07c3cbfe6322ac267ccfb9add3591c8a7ec804a123d3f0b07a37ff5263"/>
    <s v="NC219"/>
    <d v="2025-11-29T00:00:00"/>
    <n v="901907732"/>
    <s v="TECNOTICS SAS"/>
    <x v="40"/>
    <x v="40"/>
    <n v="-650000"/>
    <n v="-123500"/>
    <n v="0"/>
    <n v="0"/>
    <n v="0"/>
    <n v="-773500"/>
  </r>
  <r>
    <x v="1"/>
    <s v="0aab57ed6fd68ee08c575bae8d787268f60738dc0db999b3ecf18ede1ef7d6635b168bd0753ae8431fae98935077e58a"/>
    <s v="NC22"/>
    <d v="2025-03-07T00:00:00"/>
    <n v="901907732"/>
    <s v="TECNOTICS SAS"/>
    <x v="6"/>
    <x v="6"/>
    <n v="-430000"/>
    <n v="-81700"/>
    <n v="0"/>
    <n v="0"/>
    <n v="0"/>
    <n v="-511700"/>
  </r>
  <r>
    <x v="1"/>
    <s v="46797f9e30b1899f0e0acabbf2b85b98711e01fd3c4aa5aee2cdad7836e7582f3a7362eebf7b38114fd1575a22379fe9"/>
    <s v="NC23"/>
    <d v="2025-05-08T00:00:00"/>
    <n v="901907732"/>
    <s v="TECNOTICS SAS"/>
    <x v="3"/>
    <x v="3"/>
    <n v="-2128439"/>
    <n v="-278877.06"/>
    <n v="0"/>
    <n v="0"/>
    <n v="0"/>
    <n v="-2407316.06"/>
  </r>
  <r>
    <x v="1"/>
    <s v="5030ab1e692984fd25b06fd454309c4910f89b02280eb7d7b7714e3fc333f59093d681fde6fb67e451b58cba391c6734"/>
    <s v="NC24"/>
    <d v="2025-05-21T00:00:00"/>
    <n v="901907732"/>
    <s v="TECNOTICS SAS"/>
    <x v="1"/>
    <x v="1"/>
    <n v="-580000"/>
    <n v="0"/>
    <n v="0"/>
    <n v="0"/>
    <n v="0"/>
    <n v="-580000"/>
  </r>
  <r>
    <x v="1"/>
    <s v="44d27f7754af2ad25ed2681d75b050b5370c10774f60d1fd861d93b6a1e6b56bbd2aed7f0e44a5a6cf7f2240e214a49f"/>
    <s v="NC25"/>
    <d v="2025-05-21T00:00:00"/>
    <n v="901907732"/>
    <s v="TECNOTICS SAS"/>
    <x v="1"/>
    <x v="1"/>
    <n v="-200000"/>
    <n v="0"/>
    <n v="0"/>
    <n v="0"/>
    <n v="0"/>
    <n v="-200000"/>
  </r>
  <r>
    <x v="1"/>
    <s v="1c17f51602c34e98cc5f31ab855ea411c66829aa88e386d9aea9c25ee9aa24877c55f1ed1ed8cdaabe57c9ffadb17cf3"/>
    <s v="NC26"/>
    <d v="2025-07-11T00:00:00"/>
    <n v="901907732"/>
    <s v="TECNOTICS SAS"/>
    <x v="7"/>
    <x v="7"/>
    <n v="-476575.00000000006"/>
    <n v="-61972.68"/>
    <n v="0"/>
    <n v="0"/>
    <n v="0"/>
    <n v="-538547.68000000005"/>
  </r>
  <r>
    <x v="1"/>
    <s v="9188b5a65ac4c40bf05119a3f4287cd75be3c3877101efdca8fbb3c2b8ae79c91a299863277deefa2bc371c8f5b5784d"/>
    <s v="NC27"/>
    <d v="2025-07-11T00:00:00"/>
    <n v="901907732"/>
    <s v="TECNOTICS SAS"/>
    <x v="5"/>
    <x v="5"/>
    <n v="-1492528"/>
    <n v="0"/>
    <n v="0"/>
    <n v="0"/>
    <n v="0"/>
    <n v="-1492528"/>
  </r>
  <r>
    <x v="1"/>
    <s v="1034667e99279e689903b743decdc97cb5796fe8ac1f26012f3fedf5cb3f180166dc6b6ae4f1c03f57c871043cea0962"/>
    <s v="NC28"/>
    <d v="2025-07-18T00:00:00"/>
    <n v="901907732"/>
    <s v="TECNOTICS SAS"/>
    <x v="30"/>
    <x v="30"/>
    <n v="-588919"/>
    <n v="0"/>
    <n v="0"/>
    <n v="0"/>
    <n v="0"/>
    <n v="-588919"/>
  </r>
  <r>
    <x v="1"/>
    <s v="6eee1740a9991f4923e40505e83ee7ebe63eb9df702703a0f13f36ddcfadd88a8e136848120248e8ff0234200aefd666"/>
    <s v="NC29"/>
    <d v="2025-07-18T00:00:00"/>
    <n v="901907732"/>
    <s v="TECNOTICS SAS"/>
    <x v="30"/>
    <x v="30"/>
    <n v="-338919"/>
    <n v="-23750"/>
    <n v="0"/>
    <n v="0"/>
    <n v="0"/>
    <n v="-362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F09E7-C979-4D40-8A66-8290066B6993}" name="TablaDinámica2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1:E46" firstHeaderRow="1" firstDataRow="2" firstDataCol="2"/>
  <pivotFields count="14"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defaultSubtotal="0">
      <items count="43">
        <item x="25"/>
        <item x="18"/>
        <item x="8"/>
        <item x="16"/>
        <item x="10"/>
        <item x="0"/>
        <item x="28"/>
        <item x="2"/>
        <item x="4"/>
        <item x="15"/>
        <item x="36"/>
        <item x="32"/>
        <item x="39"/>
        <item x="42"/>
        <item x="27"/>
        <item x="33"/>
        <item x="1"/>
        <item x="6"/>
        <item x="9"/>
        <item x="14"/>
        <item x="23"/>
        <item x="40"/>
        <item x="19"/>
        <item x="30"/>
        <item x="24"/>
        <item x="13"/>
        <item x="22"/>
        <item x="17"/>
        <item x="34"/>
        <item x="11"/>
        <item x="38"/>
        <item x="12"/>
        <item x="37"/>
        <item x="20"/>
        <item x="21"/>
        <item x="3"/>
        <item x="29"/>
        <item x="5"/>
        <item x="31"/>
        <item x="35"/>
        <item x="7"/>
        <item x="41"/>
        <item x="26"/>
      </items>
    </pivotField>
    <pivotField axis="axisRow" compact="0" outline="0" showAll="0" defaultSubtotal="0">
      <items count="43">
        <item x="17"/>
        <item x="23"/>
        <item x="39"/>
        <item x="28"/>
        <item x="19"/>
        <item x="26"/>
        <item x="15"/>
        <item x="14"/>
        <item x="21"/>
        <item x="8"/>
        <item x="20"/>
        <item x="10"/>
        <item x="22"/>
        <item x="34"/>
        <item x="24"/>
        <item x="9"/>
        <item x="25"/>
        <item x="30"/>
        <item x="6"/>
        <item x="2"/>
        <item x="12"/>
        <item x="18"/>
        <item x="27"/>
        <item x="40"/>
        <item x="3"/>
        <item x="41"/>
        <item x="1"/>
        <item x="38"/>
        <item x="7"/>
        <item x="35"/>
        <item x="0"/>
        <item x="31"/>
        <item x="11"/>
        <item x="29"/>
        <item x="32"/>
        <item x="42"/>
        <item x="16"/>
        <item x="5"/>
        <item x="37"/>
        <item x="4"/>
        <item x="36"/>
        <item x="13"/>
        <item x="33"/>
      </items>
    </pivotField>
    <pivotField dataField="1"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rowFields count="2">
    <field x="6"/>
    <field x="7"/>
  </rowFields>
  <rowItems count="44">
    <i>
      <x/>
      <x v="16"/>
    </i>
    <i>
      <x v="1"/>
      <x v="21"/>
    </i>
    <i>
      <x v="2"/>
      <x v="9"/>
    </i>
    <i>
      <x v="3"/>
      <x v="36"/>
    </i>
    <i>
      <x v="4"/>
      <x v="11"/>
    </i>
    <i>
      <x v="5"/>
      <x v="30"/>
    </i>
    <i>
      <x v="6"/>
      <x v="3"/>
    </i>
    <i>
      <x v="7"/>
      <x v="19"/>
    </i>
    <i>
      <x v="8"/>
      <x v="39"/>
    </i>
    <i>
      <x v="9"/>
      <x v="6"/>
    </i>
    <i>
      <x v="10"/>
      <x v="40"/>
    </i>
    <i>
      <x v="11"/>
      <x v="34"/>
    </i>
    <i>
      <x v="12"/>
      <x v="2"/>
    </i>
    <i>
      <x v="13"/>
      <x v="35"/>
    </i>
    <i>
      <x v="14"/>
      <x v="22"/>
    </i>
    <i>
      <x v="15"/>
      <x v="42"/>
    </i>
    <i>
      <x v="16"/>
      <x v="26"/>
    </i>
    <i>
      <x v="17"/>
      <x v="18"/>
    </i>
    <i>
      <x v="18"/>
      <x v="15"/>
    </i>
    <i>
      <x v="19"/>
      <x v="7"/>
    </i>
    <i>
      <x v="20"/>
      <x v="1"/>
    </i>
    <i>
      <x v="21"/>
      <x v="23"/>
    </i>
    <i>
      <x v="22"/>
      <x v="4"/>
    </i>
    <i>
      <x v="23"/>
      <x v="17"/>
    </i>
    <i>
      <x v="24"/>
      <x v="14"/>
    </i>
    <i>
      <x v="25"/>
      <x v="41"/>
    </i>
    <i>
      <x v="26"/>
      <x v="12"/>
    </i>
    <i>
      <x v="27"/>
      <x/>
    </i>
    <i>
      <x v="28"/>
      <x v="13"/>
    </i>
    <i>
      <x v="29"/>
      <x v="32"/>
    </i>
    <i>
      <x v="30"/>
      <x v="27"/>
    </i>
    <i>
      <x v="31"/>
      <x v="20"/>
    </i>
    <i>
      <x v="32"/>
      <x v="38"/>
    </i>
    <i>
      <x v="33"/>
      <x v="10"/>
    </i>
    <i>
      <x v="34"/>
      <x v="8"/>
    </i>
    <i>
      <x v="35"/>
      <x v="24"/>
    </i>
    <i>
      <x v="36"/>
      <x v="33"/>
    </i>
    <i>
      <x v="37"/>
      <x v="37"/>
    </i>
    <i>
      <x v="38"/>
      <x v="31"/>
    </i>
    <i>
      <x v="39"/>
      <x v="29"/>
    </i>
    <i>
      <x v="40"/>
      <x v="28"/>
    </i>
    <i>
      <x v="41"/>
      <x v="25"/>
    </i>
    <i>
      <x v="42"/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SUBTOTAL" fld="8" baseField="0" baseItem="0" numFmtId="3"/>
  </dataFields>
  <formats count="113">
    <format dxfId="277">
      <pivotArea outline="0" collapsedLevelsAreSubtotals="1" fieldPosition="0"/>
    </format>
    <format dxfId="276">
      <pivotArea field="0" type="button" dataOnly="0" labelOnly="1" outline="0" axis="axisCol" fieldPosition="0"/>
    </format>
    <format dxfId="275">
      <pivotArea type="topRight" dataOnly="0" labelOnly="1" outline="0" fieldPosition="0"/>
    </format>
    <format dxfId="274">
      <pivotArea dataOnly="0" labelOnly="1" outline="0" fieldPosition="0">
        <references count="1">
          <reference field="0" count="0"/>
        </references>
      </pivotArea>
    </format>
    <format dxfId="273">
      <pivotArea dataOnly="0" labelOnly="1" grandCol="1" outline="0" fieldPosition="0"/>
    </format>
    <format dxfId="272">
      <pivotArea type="all" dataOnly="0" outline="0" fieldPosition="0"/>
    </format>
    <format dxfId="271">
      <pivotArea outline="0" collapsedLevelsAreSubtotals="1" fieldPosition="0"/>
    </format>
    <format dxfId="270">
      <pivotArea type="origin" dataOnly="0" labelOnly="1" outline="0" fieldPosition="0"/>
    </format>
    <format dxfId="269">
      <pivotArea field="0" type="button" dataOnly="0" labelOnly="1" outline="0" axis="axisCol" fieldPosition="0"/>
    </format>
    <format dxfId="268">
      <pivotArea type="topRight" dataOnly="0" labelOnly="1" outline="0" fieldPosition="0"/>
    </format>
    <format dxfId="267">
      <pivotArea field="6" type="button" dataOnly="0" labelOnly="1" outline="0" axis="axisRow" fieldPosition="0"/>
    </format>
    <format dxfId="266">
      <pivotArea field="7" type="button" dataOnly="0" labelOnly="1" outline="0" axis="axisRow" fieldPosition="1"/>
    </format>
    <format dxfId="265">
      <pivotArea dataOnly="0" labelOnly="1" outline="0" fieldPosition="0">
        <references count="1">
          <reference field="6" count="0"/>
        </references>
      </pivotArea>
    </format>
    <format dxfId="264">
      <pivotArea dataOnly="0" labelOnly="1" grandRow="1" outline="0" fieldPosition="0"/>
    </format>
    <format dxfId="263">
      <pivotArea dataOnly="0" labelOnly="1" outline="0" fieldPosition="0">
        <references count="2">
          <reference field="6" count="1" selected="0">
            <x v="0"/>
          </reference>
          <reference field="7" count="1">
            <x v="16"/>
          </reference>
        </references>
      </pivotArea>
    </format>
    <format dxfId="262">
      <pivotArea dataOnly="0" labelOnly="1" outline="0" fieldPosition="0">
        <references count="2">
          <reference field="6" count="1" selected="0">
            <x v="1"/>
          </reference>
          <reference field="7" count="1">
            <x v="21"/>
          </reference>
        </references>
      </pivotArea>
    </format>
    <format dxfId="261">
      <pivotArea dataOnly="0" labelOnly="1" outline="0" fieldPosition="0">
        <references count="2">
          <reference field="6" count="1" selected="0">
            <x v="2"/>
          </reference>
          <reference field="7" count="1">
            <x v="9"/>
          </reference>
        </references>
      </pivotArea>
    </format>
    <format dxfId="260">
      <pivotArea dataOnly="0" labelOnly="1" outline="0" fieldPosition="0">
        <references count="2">
          <reference field="6" count="1" selected="0">
            <x v="3"/>
          </reference>
          <reference field="7" count="1">
            <x v="36"/>
          </reference>
        </references>
      </pivotArea>
    </format>
    <format dxfId="259">
      <pivotArea dataOnly="0" labelOnly="1" outline="0" fieldPosition="0">
        <references count="2">
          <reference field="6" count="1" selected="0">
            <x v="4"/>
          </reference>
          <reference field="7" count="1">
            <x v="11"/>
          </reference>
        </references>
      </pivotArea>
    </format>
    <format dxfId="258">
      <pivotArea dataOnly="0" labelOnly="1" outline="0" fieldPosition="0">
        <references count="2">
          <reference field="6" count="1" selected="0">
            <x v="5"/>
          </reference>
          <reference field="7" count="1">
            <x v="30"/>
          </reference>
        </references>
      </pivotArea>
    </format>
    <format dxfId="257">
      <pivotArea dataOnly="0" labelOnly="1" outline="0" fieldPosition="0">
        <references count="2">
          <reference field="6" count="1" selected="0">
            <x v="6"/>
          </reference>
          <reference field="7" count="1">
            <x v="3"/>
          </reference>
        </references>
      </pivotArea>
    </format>
    <format dxfId="256">
      <pivotArea dataOnly="0" labelOnly="1" outline="0" fieldPosition="0">
        <references count="2">
          <reference field="6" count="1" selected="0">
            <x v="7"/>
          </reference>
          <reference field="7" count="1">
            <x v="19"/>
          </reference>
        </references>
      </pivotArea>
    </format>
    <format dxfId="255">
      <pivotArea dataOnly="0" labelOnly="1" outline="0" fieldPosition="0">
        <references count="2">
          <reference field="6" count="1" selected="0">
            <x v="8"/>
          </reference>
          <reference field="7" count="1">
            <x v="39"/>
          </reference>
        </references>
      </pivotArea>
    </format>
    <format dxfId="254">
      <pivotArea dataOnly="0" labelOnly="1" outline="0" fieldPosition="0">
        <references count="2">
          <reference field="6" count="1" selected="0">
            <x v="9"/>
          </reference>
          <reference field="7" count="1">
            <x v="6"/>
          </reference>
        </references>
      </pivotArea>
    </format>
    <format dxfId="253">
      <pivotArea dataOnly="0" labelOnly="1" outline="0" fieldPosition="0">
        <references count="2">
          <reference field="6" count="1" selected="0">
            <x v="10"/>
          </reference>
          <reference field="7" count="1">
            <x v="40"/>
          </reference>
        </references>
      </pivotArea>
    </format>
    <format dxfId="252">
      <pivotArea dataOnly="0" labelOnly="1" outline="0" fieldPosition="0">
        <references count="2">
          <reference field="6" count="1" selected="0">
            <x v="11"/>
          </reference>
          <reference field="7" count="1">
            <x v="34"/>
          </reference>
        </references>
      </pivotArea>
    </format>
    <format dxfId="251">
      <pivotArea dataOnly="0" labelOnly="1" outline="0" fieldPosition="0">
        <references count="2">
          <reference field="6" count="1" selected="0">
            <x v="12"/>
          </reference>
          <reference field="7" count="1">
            <x v="2"/>
          </reference>
        </references>
      </pivotArea>
    </format>
    <format dxfId="250">
      <pivotArea dataOnly="0" labelOnly="1" outline="0" fieldPosition="0">
        <references count="2">
          <reference field="6" count="1" selected="0">
            <x v="13"/>
          </reference>
          <reference field="7" count="1">
            <x v="35"/>
          </reference>
        </references>
      </pivotArea>
    </format>
    <format dxfId="249">
      <pivotArea dataOnly="0" labelOnly="1" outline="0" fieldPosition="0">
        <references count="2">
          <reference field="6" count="1" selected="0">
            <x v="14"/>
          </reference>
          <reference field="7" count="1">
            <x v="22"/>
          </reference>
        </references>
      </pivotArea>
    </format>
    <format dxfId="248">
      <pivotArea dataOnly="0" labelOnly="1" outline="0" fieldPosition="0">
        <references count="2">
          <reference field="6" count="1" selected="0">
            <x v="15"/>
          </reference>
          <reference field="7" count="1">
            <x v="42"/>
          </reference>
        </references>
      </pivotArea>
    </format>
    <format dxfId="247">
      <pivotArea dataOnly="0" labelOnly="1" outline="0" fieldPosition="0">
        <references count="2">
          <reference field="6" count="1" selected="0">
            <x v="16"/>
          </reference>
          <reference field="7" count="1">
            <x v="26"/>
          </reference>
        </references>
      </pivotArea>
    </format>
    <format dxfId="246">
      <pivotArea dataOnly="0" labelOnly="1" outline="0" fieldPosition="0">
        <references count="2">
          <reference field="6" count="1" selected="0">
            <x v="17"/>
          </reference>
          <reference field="7" count="1">
            <x v="18"/>
          </reference>
        </references>
      </pivotArea>
    </format>
    <format dxfId="245">
      <pivotArea dataOnly="0" labelOnly="1" outline="0" fieldPosition="0">
        <references count="2">
          <reference field="6" count="1" selected="0">
            <x v="18"/>
          </reference>
          <reference field="7" count="1">
            <x v="15"/>
          </reference>
        </references>
      </pivotArea>
    </format>
    <format dxfId="244">
      <pivotArea dataOnly="0" labelOnly="1" outline="0" fieldPosition="0">
        <references count="2">
          <reference field="6" count="1" selected="0">
            <x v="19"/>
          </reference>
          <reference field="7" count="1">
            <x v="7"/>
          </reference>
        </references>
      </pivotArea>
    </format>
    <format dxfId="243">
      <pivotArea dataOnly="0" labelOnly="1" outline="0" fieldPosition="0">
        <references count="2">
          <reference field="6" count="1" selected="0">
            <x v="20"/>
          </reference>
          <reference field="7" count="1">
            <x v="1"/>
          </reference>
        </references>
      </pivotArea>
    </format>
    <format dxfId="242">
      <pivotArea dataOnly="0" labelOnly="1" outline="0" fieldPosition="0">
        <references count="2">
          <reference field="6" count="1" selected="0">
            <x v="21"/>
          </reference>
          <reference field="7" count="1">
            <x v="23"/>
          </reference>
        </references>
      </pivotArea>
    </format>
    <format dxfId="241">
      <pivotArea dataOnly="0" labelOnly="1" outline="0" fieldPosition="0">
        <references count="2">
          <reference field="6" count="1" selected="0">
            <x v="22"/>
          </reference>
          <reference field="7" count="1">
            <x v="4"/>
          </reference>
        </references>
      </pivotArea>
    </format>
    <format dxfId="240">
      <pivotArea dataOnly="0" labelOnly="1" outline="0" fieldPosition="0">
        <references count="2">
          <reference field="6" count="1" selected="0">
            <x v="23"/>
          </reference>
          <reference field="7" count="1">
            <x v="17"/>
          </reference>
        </references>
      </pivotArea>
    </format>
    <format dxfId="239">
      <pivotArea dataOnly="0" labelOnly="1" outline="0" fieldPosition="0">
        <references count="2">
          <reference field="6" count="1" selected="0">
            <x v="24"/>
          </reference>
          <reference field="7" count="1">
            <x v="14"/>
          </reference>
        </references>
      </pivotArea>
    </format>
    <format dxfId="238">
      <pivotArea dataOnly="0" labelOnly="1" outline="0" fieldPosition="0">
        <references count="2">
          <reference field="6" count="1" selected="0">
            <x v="25"/>
          </reference>
          <reference field="7" count="1">
            <x v="41"/>
          </reference>
        </references>
      </pivotArea>
    </format>
    <format dxfId="237">
      <pivotArea dataOnly="0" labelOnly="1" outline="0" fieldPosition="0">
        <references count="2">
          <reference field="6" count="1" selected="0">
            <x v="26"/>
          </reference>
          <reference field="7" count="1">
            <x v="12"/>
          </reference>
        </references>
      </pivotArea>
    </format>
    <format dxfId="236">
      <pivotArea dataOnly="0" labelOnly="1" outline="0" fieldPosition="0">
        <references count="2">
          <reference field="6" count="1" selected="0">
            <x v="27"/>
          </reference>
          <reference field="7" count="1">
            <x v="0"/>
          </reference>
        </references>
      </pivotArea>
    </format>
    <format dxfId="235">
      <pivotArea dataOnly="0" labelOnly="1" outline="0" fieldPosition="0">
        <references count="2">
          <reference field="6" count="1" selected="0">
            <x v="28"/>
          </reference>
          <reference field="7" count="1">
            <x v="13"/>
          </reference>
        </references>
      </pivotArea>
    </format>
    <format dxfId="234">
      <pivotArea dataOnly="0" labelOnly="1" outline="0" fieldPosition="0">
        <references count="2">
          <reference field="6" count="1" selected="0">
            <x v="29"/>
          </reference>
          <reference field="7" count="1">
            <x v="32"/>
          </reference>
        </references>
      </pivotArea>
    </format>
    <format dxfId="233">
      <pivotArea dataOnly="0" labelOnly="1" outline="0" fieldPosition="0">
        <references count="2">
          <reference field="6" count="1" selected="0">
            <x v="30"/>
          </reference>
          <reference field="7" count="1">
            <x v="27"/>
          </reference>
        </references>
      </pivotArea>
    </format>
    <format dxfId="232">
      <pivotArea dataOnly="0" labelOnly="1" outline="0" fieldPosition="0">
        <references count="2">
          <reference field="6" count="1" selected="0">
            <x v="31"/>
          </reference>
          <reference field="7" count="1">
            <x v="20"/>
          </reference>
        </references>
      </pivotArea>
    </format>
    <format dxfId="231">
      <pivotArea dataOnly="0" labelOnly="1" outline="0" fieldPosition="0">
        <references count="2">
          <reference field="6" count="1" selected="0">
            <x v="32"/>
          </reference>
          <reference field="7" count="1">
            <x v="38"/>
          </reference>
        </references>
      </pivotArea>
    </format>
    <format dxfId="230">
      <pivotArea dataOnly="0" labelOnly="1" outline="0" fieldPosition="0">
        <references count="2">
          <reference field="6" count="1" selected="0">
            <x v="33"/>
          </reference>
          <reference field="7" count="1">
            <x v="10"/>
          </reference>
        </references>
      </pivotArea>
    </format>
    <format dxfId="229">
      <pivotArea dataOnly="0" labelOnly="1" outline="0" fieldPosition="0">
        <references count="2">
          <reference field="6" count="1" selected="0">
            <x v="34"/>
          </reference>
          <reference field="7" count="1">
            <x v="8"/>
          </reference>
        </references>
      </pivotArea>
    </format>
    <format dxfId="228">
      <pivotArea dataOnly="0" labelOnly="1" outline="0" fieldPosition="0">
        <references count="2">
          <reference field="6" count="1" selected="0">
            <x v="35"/>
          </reference>
          <reference field="7" count="1">
            <x v="24"/>
          </reference>
        </references>
      </pivotArea>
    </format>
    <format dxfId="227">
      <pivotArea dataOnly="0" labelOnly="1" outline="0" fieldPosition="0">
        <references count="2">
          <reference field="6" count="1" selected="0">
            <x v="36"/>
          </reference>
          <reference field="7" count="1">
            <x v="33"/>
          </reference>
        </references>
      </pivotArea>
    </format>
    <format dxfId="226">
      <pivotArea dataOnly="0" labelOnly="1" outline="0" fieldPosition="0">
        <references count="2">
          <reference field="6" count="1" selected="0">
            <x v="37"/>
          </reference>
          <reference field="7" count="1">
            <x v="37"/>
          </reference>
        </references>
      </pivotArea>
    </format>
    <format dxfId="225">
      <pivotArea dataOnly="0" labelOnly="1" outline="0" fieldPosition="0">
        <references count="2">
          <reference field="6" count="1" selected="0">
            <x v="38"/>
          </reference>
          <reference field="7" count="1">
            <x v="31"/>
          </reference>
        </references>
      </pivotArea>
    </format>
    <format dxfId="224">
      <pivotArea dataOnly="0" labelOnly="1" outline="0" fieldPosition="0">
        <references count="2">
          <reference field="6" count="1" selected="0">
            <x v="39"/>
          </reference>
          <reference field="7" count="1">
            <x v="29"/>
          </reference>
        </references>
      </pivotArea>
    </format>
    <format dxfId="223">
      <pivotArea dataOnly="0" labelOnly="1" outline="0" fieldPosition="0">
        <references count="2">
          <reference field="6" count="1" selected="0">
            <x v="40"/>
          </reference>
          <reference field="7" count="1">
            <x v="28"/>
          </reference>
        </references>
      </pivotArea>
    </format>
    <format dxfId="222">
      <pivotArea dataOnly="0" labelOnly="1" outline="0" fieldPosition="0">
        <references count="2">
          <reference field="6" count="1" selected="0">
            <x v="41"/>
          </reference>
          <reference field="7" count="1">
            <x v="25"/>
          </reference>
        </references>
      </pivotArea>
    </format>
    <format dxfId="221">
      <pivotArea dataOnly="0" labelOnly="1" outline="0" fieldPosition="0">
        <references count="2">
          <reference field="6" count="1" selected="0">
            <x v="42"/>
          </reference>
          <reference field="7" count="1">
            <x v="5"/>
          </reference>
        </references>
      </pivotArea>
    </format>
    <format dxfId="220">
      <pivotArea dataOnly="0" labelOnly="1" outline="0" fieldPosition="0">
        <references count="1">
          <reference field="0" count="0"/>
        </references>
      </pivotArea>
    </format>
    <format dxfId="219">
      <pivotArea dataOnly="0" labelOnly="1" grandCol="1" outline="0" fieldPosition="0"/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type="origin" dataOnly="0" labelOnly="1" outline="0" fieldPosition="0"/>
    </format>
    <format dxfId="215">
      <pivotArea field="0" type="button" dataOnly="0" labelOnly="1" outline="0" axis="axisCol" fieldPosition="0"/>
    </format>
    <format dxfId="214">
      <pivotArea type="topRight" dataOnly="0" labelOnly="1" outline="0" fieldPosition="0"/>
    </format>
    <format dxfId="213">
      <pivotArea field="6" type="button" dataOnly="0" labelOnly="1" outline="0" axis="axisRow" fieldPosition="0"/>
    </format>
    <format dxfId="212">
      <pivotArea field="7" type="button" dataOnly="0" labelOnly="1" outline="0" axis="axisRow" fieldPosition="1"/>
    </format>
    <format dxfId="211">
      <pivotArea dataOnly="0" labelOnly="1" outline="0" fieldPosition="0">
        <references count="1">
          <reference field="6" count="0"/>
        </references>
      </pivotArea>
    </format>
    <format dxfId="210">
      <pivotArea dataOnly="0" labelOnly="1" grandRow="1" outline="0" fieldPosition="0"/>
    </format>
    <format dxfId="209">
      <pivotArea dataOnly="0" labelOnly="1" outline="0" fieldPosition="0">
        <references count="2">
          <reference field="6" count="1" selected="0">
            <x v="0"/>
          </reference>
          <reference field="7" count="1">
            <x v="16"/>
          </reference>
        </references>
      </pivotArea>
    </format>
    <format dxfId="208">
      <pivotArea dataOnly="0" labelOnly="1" outline="0" fieldPosition="0">
        <references count="2">
          <reference field="6" count="1" selected="0">
            <x v="1"/>
          </reference>
          <reference field="7" count="1">
            <x v="21"/>
          </reference>
        </references>
      </pivotArea>
    </format>
    <format dxfId="207">
      <pivotArea dataOnly="0" labelOnly="1" outline="0" fieldPosition="0">
        <references count="2">
          <reference field="6" count="1" selected="0">
            <x v="2"/>
          </reference>
          <reference field="7" count="1">
            <x v="9"/>
          </reference>
        </references>
      </pivotArea>
    </format>
    <format dxfId="206">
      <pivotArea dataOnly="0" labelOnly="1" outline="0" fieldPosition="0">
        <references count="2">
          <reference field="6" count="1" selected="0">
            <x v="3"/>
          </reference>
          <reference field="7" count="1">
            <x v="36"/>
          </reference>
        </references>
      </pivotArea>
    </format>
    <format dxfId="205">
      <pivotArea dataOnly="0" labelOnly="1" outline="0" fieldPosition="0">
        <references count="2">
          <reference field="6" count="1" selected="0">
            <x v="4"/>
          </reference>
          <reference field="7" count="1">
            <x v="11"/>
          </reference>
        </references>
      </pivotArea>
    </format>
    <format dxfId="204">
      <pivotArea dataOnly="0" labelOnly="1" outline="0" fieldPosition="0">
        <references count="2">
          <reference field="6" count="1" selected="0">
            <x v="5"/>
          </reference>
          <reference field="7" count="1">
            <x v="30"/>
          </reference>
        </references>
      </pivotArea>
    </format>
    <format dxfId="203">
      <pivotArea dataOnly="0" labelOnly="1" outline="0" fieldPosition="0">
        <references count="2">
          <reference field="6" count="1" selected="0">
            <x v="6"/>
          </reference>
          <reference field="7" count="1">
            <x v="3"/>
          </reference>
        </references>
      </pivotArea>
    </format>
    <format dxfId="202">
      <pivotArea dataOnly="0" labelOnly="1" outline="0" fieldPosition="0">
        <references count="2">
          <reference field="6" count="1" selected="0">
            <x v="7"/>
          </reference>
          <reference field="7" count="1">
            <x v="19"/>
          </reference>
        </references>
      </pivotArea>
    </format>
    <format dxfId="201">
      <pivotArea dataOnly="0" labelOnly="1" outline="0" fieldPosition="0">
        <references count="2">
          <reference field="6" count="1" selected="0">
            <x v="8"/>
          </reference>
          <reference field="7" count="1">
            <x v="39"/>
          </reference>
        </references>
      </pivotArea>
    </format>
    <format dxfId="200">
      <pivotArea dataOnly="0" labelOnly="1" outline="0" fieldPosition="0">
        <references count="2">
          <reference field="6" count="1" selected="0">
            <x v="9"/>
          </reference>
          <reference field="7" count="1">
            <x v="6"/>
          </reference>
        </references>
      </pivotArea>
    </format>
    <format dxfId="199">
      <pivotArea dataOnly="0" labelOnly="1" outline="0" fieldPosition="0">
        <references count="2">
          <reference field="6" count="1" selected="0">
            <x v="10"/>
          </reference>
          <reference field="7" count="1">
            <x v="40"/>
          </reference>
        </references>
      </pivotArea>
    </format>
    <format dxfId="198">
      <pivotArea dataOnly="0" labelOnly="1" outline="0" fieldPosition="0">
        <references count="2">
          <reference field="6" count="1" selected="0">
            <x v="11"/>
          </reference>
          <reference field="7" count="1">
            <x v="34"/>
          </reference>
        </references>
      </pivotArea>
    </format>
    <format dxfId="197">
      <pivotArea dataOnly="0" labelOnly="1" outline="0" fieldPosition="0">
        <references count="2">
          <reference field="6" count="1" selected="0">
            <x v="12"/>
          </reference>
          <reference field="7" count="1">
            <x v="2"/>
          </reference>
        </references>
      </pivotArea>
    </format>
    <format dxfId="196">
      <pivotArea dataOnly="0" labelOnly="1" outline="0" fieldPosition="0">
        <references count="2">
          <reference field="6" count="1" selected="0">
            <x v="13"/>
          </reference>
          <reference field="7" count="1">
            <x v="35"/>
          </reference>
        </references>
      </pivotArea>
    </format>
    <format dxfId="195">
      <pivotArea dataOnly="0" labelOnly="1" outline="0" fieldPosition="0">
        <references count="2">
          <reference field="6" count="1" selected="0">
            <x v="14"/>
          </reference>
          <reference field="7" count="1">
            <x v="22"/>
          </reference>
        </references>
      </pivotArea>
    </format>
    <format dxfId="194">
      <pivotArea dataOnly="0" labelOnly="1" outline="0" fieldPosition="0">
        <references count="2">
          <reference field="6" count="1" selected="0">
            <x v="15"/>
          </reference>
          <reference field="7" count="1">
            <x v="42"/>
          </reference>
        </references>
      </pivotArea>
    </format>
    <format dxfId="193">
      <pivotArea dataOnly="0" labelOnly="1" outline="0" fieldPosition="0">
        <references count="2">
          <reference field="6" count="1" selected="0">
            <x v="16"/>
          </reference>
          <reference field="7" count="1">
            <x v="26"/>
          </reference>
        </references>
      </pivotArea>
    </format>
    <format dxfId="192">
      <pivotArea dataOnly="0" labelOnly="1" outline="0" fieldPosition="0">
        <references count="2">
          <reference field="6" count="1" selected="0">
            <x v="17"/>
          </reference>
          <reference field="7" count="1">
            <x v="18"/>
          </reference>
        </references>
      </pivotArea>
    </format>
    <format dxfId="191">
      <pivotArea dataOnly="0" labelOnly="1" outline="0" fieldPosition="0">
        <references count="2">
          <reference field="6" count="1" selected="0">
            <x v="18"/>
          </reference>
          <reference field="7" count="1">
            <x v="15"/>
          </reference>
        </references>
      </pivotArea>
    </format>
    <format dxfId="190">
      <pivotArea dataOnly="0" labelOnly="1" outline="0" fieldPosition="0">
        <references count="2">
          <reference field="6" count="1" selected="0">
            <x v="19"/>
          </reference>
          <reference field="7" count="1">
            <x v="7"/>
          </reference>
        </references>
      </pivotArea>
    </format>
    <format dxfId="189">
      <pivotArea dataOnly="0" labelOnly="1" outline="0" fieldPosition="0">
        <references count="2">
          <reference field="6" count="1" selected="0">
            <x v="20"/>
          </reference>
          <reference field="7" count="1">
            <x v="1"/>
          </reference>
        </references>
      </pivotArea>
    </format>
    <format dxfId="188">
      <pivotArea dataOnly="0" labelOnly="1" outline="0" fieldPosition="0">
        <references count="2">
          <reference field="6" count="1" selected="0">
            <x v="21"/>
          </reference>
          <reference field="7" count="1">
            <x v="23"/>
          </reference>
        </references>
      </pivotArea>
    </format>
    <format dxfId="187">
      <pivotArea dataOnly="0" labelOnly="1" outline="0" fieldPosition="0">
        <references count="2">
          <reference field="6" count="1" selected="0">
            <x v="22"/>
          </reference>
          <reference field="7" count="1">
            <x v="4"/>
          </reference>
        </references>
      </pivotArea>
    </format>
    <format dxfId="186">
      <pivotArea dataOnly="0" labelOnly="1" outline="0" fieldPosition="0">
        <references count="2">
          <reference field="6" count="1" selected="0">
            <x v="23"/>
          </reference>
          <reference field="7" count="1">
            <x v="17"/>
          </reference>
        </references>
      </pivotArea>
    </format>
    <format dxfId="185">
      <pivotArea dataOnly="0" labelOnly="1" outline="0" fieldPosition="0">
        <references count="2">
          <reference field="6" count="1" selected="0">
            <x v="24"/>
          </reference>
          <reference field="7" count="1">
            <x v="14"/>
          </reference>
        </references>
      </pivotArea>
    </format>
    <format dxfId="184">
      <pivotArea dataOnly="0" labelOnly="1" outline="0" fieldPosition="0">
        <references count="2">
          <reference field="6" count="1" selected="0">
            <x v="25"/>
          </reference>
          <reference field="7" count="1">
            <x v="41"/>
          </reference>
        </references>
      </pivotArea>
    </format>
    <format dxfId="183">
      <pivotArea dataOnly="0" labelOnly="1" outline="0" fieldPosition="0">
        <references count="2">
          <reference field="6" count="1" selected="0">
            <x v="26"/>
          </reference>
          <reference field="7" count="1">
            <x v="12"/>
          </reference>
        </references>
      </pivotArea>
    </format>
    <format dxfId="182">
      <pivotArea dataOnly="0" labelOnly="1" outline="0" fieldPosition="0">
        <references count="2">
          <reference field="6" count="1" selected="0">
            <x v="27"/>
          </reference>
          <reference field="7" count="1">
            <x v="0"/>
          </reference>
        </references>
      </pivotArea>
    </format>
    <format dxfId="181">
      <pivotArea dataOnly="0" labelOnly="1" outline="0" fieldPosition="0">
        <references count="2">
          <reference field="6" count="1" selected="0">
            <x v="28"/>
          </reference>
          <reference field="7" count="1">
            <x v="13"/>
          </reference>
        </references>
      </pivotArea>
    </format>
    <format dxfId="180">
      <pivotArea dataOnly="0" labelOnly="1" outline="0" fieldPosition="0">
        <references count="2">
          <reference field="6" count="1" selected="0">
            <x v="29"/>
          </reference>
          <reference field="7" count="1">
            <x v="32"/>
          </reference>
        </references>
      </pivotArea>
    </format>
    <format dxfId="179">
      <pivotArea dataOnly="0" labelOnly="1" outline="0" fieldPosition="0">
        <references count="2">
          <reference field="6" count="1" selected="0">
            <x v="30"/>
          </reference>
          <reference field="7" count="1">
            <x v="27"/>
          </reference>
        </references>
      </pivotArea>
    </format>
    <format dxfId="178">
      <pivotArea dataOnly="0" labelOnly="1" outline="0" fieldPosition="0">
        <references count="2">
          <reference field="6" count="1" selected="0">
            <x v="31"/>
          </reference>
          <reference field="7" count="1">
            <x v="20"/>
          </reference>
        </references>
      </pivotArea>
    </format>
    <format dxfId="177">
      <pivotArea dataOnly="0" labelOnly="1" outline="0" fieldPosition="0">
        <references count="2">
          <reference field="6" count="1" selected="0">
            <x v="32"/>
          </reference>
          <reference field="7" count="1">
            <x v="38"/>
          </reference>
        </references>
      </pivotArea>
    </format>
    <format dxfId="176">
      <pivotArea dataOnly="0" labelOnly="1" outline="0" fieldPosition="0">
        <references count="2">
          <reference field="6" count="1" selected="0">
            <x v="33"/>
          </reference>
          <reference field="7" count="1">
            <x v="10"/>
          </reference>
        </references>
      </pivotArea>
    </format>
    <format dxfId="175">
      <pivotArea dataOnly="0" labelOnly="1" outline="0" fieldPosition="0">
        <references count="2">
          <reference field="6" count="1" selected="0">
            <x v="34"/>
          </reference>
          <reference field="7" count="1">
            <x v="8"/>
          </reference>
        </references>
      </pivotArea>
    </format>
    <format dxfId="174">
      <pivotArea dataOnly="0" labelOnly="1" outline="0" fieldPosition="0">
        <references count="2">
          <reference field="6" count="1" selected="0">
            <x v="35"/>
          </reference>
          <reference field="7" count="1">
            <x v="24"/>
          </reference>
        </references>
      </pivotArea>
    </format>
    <format dxfId="173">
      <pivotArea dataOnly="0" labelOnly="1" outline="0" fieldPosition="0">
        <references count="2">
          <reference field="6" count="1" selected="0">
            <x v="36"/>
          </reference>
          <reference field="7" count="1">
            <x v="33"/>
          </reference>
        </references>
      </pivotArea>
    </format>
    <format dxfId="172">
      <pivotArea dataOnly="0" labelOnly="1" outline="0" fieldPosition="0">
        <references count="2">
          <reference field="6" count="1" selected="0">
            <x v="37"/>
          </reference>
          <reference field="7" count="1">
            <x v="37"/>
          </reference>
        </references>
      </pivotArea>
    </format>
    <format dxfId="171">
      <pivotArea dataOnly="0" labelOnly="1" outline="0" fieldPosition="0">
        <references count="2">
          <reference field="6" count="1" selected="0">
            <x v="38"/>
          </reference>
          <reference field="7" count="1">
            <x v="31"/>
          </reference>
        </references>
      </pivotArea>
    </format>
    <format dxfId="170">
      <pivotArea dataOnly="0" labelOnly="1" outline="0" fieldPosition="0">
        <references count="2">
          <reference field="6" count="1" selected="0">
            <x v="39"/>
          </reference>
          <reference field="7" count="1">
            <x v="29"/>
          </reference>
        </references>
      </pivotArea>
    </format>
    <format dxfId="169">
      <pivotArea dataOnly="0" labelOnly="1" outline="0" fieldPosition="0">
        <references count="2">
          <reference field="6" count="1" selected="0">
            <x v="40"/>
          </reference>
          <reference field="7" count="1">
            <x v="28"/>
          </reference>
        </references>
      </pivotArea>
    </format>
    <format dxfId="168">
      <pivotArea dataOnly="0" labelOnly="1" outline="0" fieldPosition="0">
        <references count="2">
          <reference field="6" count="1" selected="0">
            <x v="41"/>
          </reference>
          <reference field="7" count="1">
            <x v="25"/>
          </reference>
        </references>
      </pivotArea>
    </format>
    <format dxfId="167">
      <pivotArea dataOnly="0" labelOnly="1" outline="0" fieldPosition="0">
        <references count="2">
          <reference field="6" count="1" selected="0">
            <x v="42"/>
          </reference>
          <reference field="7" count="1">
            <x v="5"/>
          </reference>
        </references>
      </pivotArea>
    </format>
    <format dxfId="166">
      <pivotArea dataOnly="0" labelOnly="1" outline="0" fieldPosition="0">
        <references count="1">
          <reference field="0" count="0"/>
        </references>
      </pivotArea>
    </format>
    <format dxfId="16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C610F-1B05-44C0-8D35-CD711B0B714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G76" firstHeaderRow="0" firstDataRow="1" firstDataCol="2"/>
  <pivotFields count="14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 defaultSubtotal="0">
      <items count="75">
        <item x="5"/>
        <item x="52"/>
        <item x="62"/>
        <item x="38"/>
        <item x="3"/>
        <item x="31"/>
        <item x="57"/>
        <item x="63"/>
        <item x="41"/>
        <item x="23"/>
        <item x="12"/>
        <item x="0"/>
        <item x="33"/>
        <item x="69"/>
        <item x="45"/>
        <item x="9"/>
        <item x="73"/>
        <item x="7"/>
        <item x="10"/>
        <item x="65"/>
        <item x="68"/>
        <item x="46"/>
        <item x="20"/>
        <item x="35"/>
        <item x="43"/>
        <item x="30"/>
        <item x="39"/>
        <item x="16"/>
        <item x="44"/>
        <item x="26"/>
        <item x="6"/>
        <item x="36"/>
        <item x="29"/>
        <item x="19"/>
        <item x="27"/>
        <item x="71"/>
        <item x="47"/>
        <item x="53"/>
        <item x="72"/>
        <item x="32"/>
        <item x="17"/>
        <item x="18"/>
        <item x="24"/>
        <item x="67"/>
        <item x="25"/>
        <item x="42"/>
        <item x="4"/>
        <item x="22"/>
        <item x="34"/>
        <item x="56"/>
        <item x="14"/>
        <item x="15"/>
        <item x="60"/>
        <item x="51"/>
        <item x="28"/>
        <item x="58"/>
        <item x="50"/>
        <item x="21"/>
        <item x="61"/>
        <item x="59"/>
        <item x="13"/>
        <item x="11"/>
        <item x="70"/>
        <item x="37"/>
        <item x="64"/>
        <item x="1"/>
        <item x="66"/>
        <item x="40"/>
        <item x="49"/>
        <item m="1" x="74"/>
        <item x="8"/>
        <item x="48"/>
        <item x="2"/>
        <item x="55"/>
        <item x="54"/>
      </items>
    </pivotField>
    <pivotField axis="axisRow" compact="0" outline="0" showAll="0">
      <items count="80">
        <item x="52"/>
        <item x="38"/>
        <item x="55"/>
        <item x="63"/>
        <item x="54"/>
        <item m="1" x="76"/>
        <item x="49"/>
        <item x="46"/>
        <item x="37"/>
        <item x="10"/>
        <item x="33"/>
        <item x="69"/>
        <item x="4"/>
        <item x="42"/>
        <item x="43"/>
        <item x="66"/>
        <item x="29"/>
        <item x="22"/>
        <item x="3"/>
        <item x="7"/>
        <item x="11"/>
        <item x="65"/>
        <item x="72"/>
        <item x="26"/>
        <item x="39"/>
        <item x="58"/>
        <item m="1" x="77"/>
        <item x="17"/>
        <item x="6"/>
        <item x="40"/>
        <item x="20"/>
        <item x="67"/>
        <item x="25"/>
        <item x="70"/>
        <item x="18"/>
        <item x="32"/>
        <item x="13"/>
        <item x="14"/>
        <item x="21"/>
        <item x="0"/>
        <item x="45"/>
        <item x="36"/>
        <item x="47"/>
        <item x="56"/>
        <item x="27"/>
        <item x="31"/>
        <item x="8"/>
        <item x="1"/>
        <item m="1" x="75"/>
        <item x="50"/>
        <item x="23"/>
        <item x="64"/>
        <item x="30"/>
        <item x="59"/>
        <item x="53"/>
        <item x="51"/>
        <item x="2"/>
        <item x="24"/>
        <item x="57"/>
        <item x="5"/>
        <item x="62"/>
        <item x="68"/>
        <item x="28"/>
        <item x="73"/>
        <item x="34"/>
        <item x="19"/>
        <item x="12"/>
        <item x="15"/>
        <item x="61"/>
        <item m="1" x="74"/>
        <item x="48"/>
        <item x="9"/>
        <item m="1" x="78"/>
        <item x="16"/>
        <item x="35"/>
        <item x="44"/>
        <item x="41"/>
        <item x="60"/>
        <item x="71"/>
        <item t="default"/>
      </items>
    </pivotField>
    <pivotField compact="0" outline="0" showAll="0"/>
    <pivotField compact="0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compact="0" numFmtId="3" outline="0" showAll="0"/>
  </pivotFields>
  <rowFields count="2">
    <field x="4"/>
    <field x="5"/>
  </rowFields>
  <rowItems count="75">
    <i>
      <x/>
      <x v="59"/>
    </i>
    <i>
      <x v="1"/>
      <x/>
    </i>
    <i>
      <x v="2"/>
      <x v="60"/>
    </i>
    <i>
      <x v="3"/>
      <x v="1"/>
    </i>
    <i>
      <x v="4"/>
      <x v="18"/>
    </i>
    <i>
      <x v="5"/>
      <x v="45"/>
    </i>
    <i>
      <x v="6"/>
      <x v="58"/>
    </i>
    <i>
      <x v="7"/>
      <x v="3"/>
    </i>
    <i>
      <x v="8"/>
      <x v="76"/>
    </i>
    <i>
      <x v="9"/>
      <x v="50"/>
    </i>
    <i>
      <x v="10"/>
      <x v="66"/>
    </i>
    <i>
      <x v="11"/>
      <x v="39"/>
    </i>
    <i>
      <x v="12"/>
      <x v="10"/>
    </i>
    <i>
      <x v="13"/>
      <x v="11"/>
    </i>
    <i>
      <x v="14"/>
      <x v="40"/>
    </i>
    <i>
      <x v="15"/>
      <x v="71"/>
    </i>
    <i>
      <x v="16"/>
      <x v="63"/>
    </i>
    <i>
      <x v="17"/>
      <x v="19"/>
    </i>
    <i>
      <x v="18"/>
      <x v="9"/>
    </i>
    <i>
      <x v="19"/>
      <x v="21"/>
    </i>
    <i>
      <x v="20"/>
      <x v="61"/>
    </i>
    <i>
      <x v="21"/>
      <x v="7"/>
    </i>
    <i>
      <x v="22"/>
      <x v="30"/>
    </i>
    <i>
      <x v="23"/>
      <x v="74"/>
    </i>
    <i>
      <x v="24"/>
      <x v="14"/>
    </i>
    <i>
      <x v="25"/>
      <x v="52"/>
    </i>
    <i>
      <x v="26"/>
      <x v="24"/>
    </i>
    <i>
      <x v="27"/>
      <x v="73"/>
    </i>
    <i>
      <x v="28"/>
      <x v="75"/>
    </i>
    <i>
      <x v="29"/>
      <x v="23"/>
    </i>
    <i>
      <x v="30"/>
      <x v="28"/>
    </i>
    <i>
      <x v="31"/>
      <x v="41"/>
    </i>
    <i>
      <x v="32"/>
      <x v="16"/>
    </i>
    <i>
      <x v="33"/>
      <x v="65"/>
    </i>
    <i>
      <x v="34"/>
      <x v="44"/>
    </i>
    <i>
      <x v="35"/>
      <x v="78"/>
    </i>
    <i>
      <x v="36"/>
      <x v="42"/>
    </i>
    <i>
      <x v="37"/>
      <x v="54"/>
    </i>
    <i>
      <x v="38"/>
      <x v="22"/>
    </i>
    <i>
      <x v="39"/>
      <x v="35"/>
    </i>
    <i>
      <x v="40"/>
      <x v="27"/>
    </i>
    <i>
      <x v="41"/>
      <x v="34"/>
    </i>
    <i>
      <x v="42"/>
      <x v="57"/>
    </i>
    <i>
      <x v="43"/>
      <x v="31"/>
    </i>
    <i>
      <x v="44"/>
      <x v="32"/>
    </i>
    <i>
      <x v="45"/>
      <x v="13"/>
    </i>
    <i>
      <x v="46"/>
      <x v="12"/>
    </i>
    <i>
      <x v="47"/>
      <x v="17"/>
    </i>
    <i>
      <x v="48"/>
      <x v="64"/>
    </i>
    <i>
      <x v="49"/>
      <x v="43"/>
    </i>
    <i>
      <x v="50"/>
      <x v="37"/>
    </i>
    <i>
      <x v="51"/>
      <x v="67"/>
    </i>
    <i>
      <x v="52"/>
      <x v="77"/>
    </i>
    <i>
      <x v="53"/>
      <x v="55"/>
    </i>
    <i>
      <x v="54"/>
      <x v="62"/>
    </i>
    <i>
      <x v="55"/>
      <x v="25"/>
    </i>
    <i>
      <x v="56"/>
      <x v="49"/>
    </i>
    <i>
      <x v="57"/>
      <x v="38"/>
    </i>
    <i>
      <x v="58"/>
      <x v="68"/>
    </i>
    <i>
      <x v="59"/>
      <x v="53"/>
    </i>
    <i>
      <x v="60"/>
      <x v="36"/>
    </i>
    <i>
      <x v="61"/>
      <x v="20"/>
    </i>
    <i>
      <x v="62"/>
      <x v="33"/>
    </i>
    <i>
      <x v="63"/>
      <x v="8"/>
    </i>
    <i>
      <x v="64"/>
      <x v="51"/>
    </i>
    <i>
      <x v="65"/>
      <x v="47"/>
    </i>
    <i>
      <x v="66"/>
      <x v="15"/>
    </i>
    <i>
      <x v="67"/>
      <x v="29"/>
    </i>
    <i>
      <x v="68"/>
      <x v="6"/>
    </i>
    <i>
      <x v="70"/>
      <x v="46"/>
    </i>
    <i>
      <x v="71"/>
      <x v="70"/>
    </i>
    <i>
      <x v="72"/>
      <x v="56"/>
    </i>
    <i>
      <x v="73"/>
      <x v="2"/>
    </i>
    <i>
      <x v="74"/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SUBTOTAL" fld="8" baseField="0" baseItem="0" numFmtId="3"/>
    <dataField name="Suma de IVA" fld="9" baseField="0" baseItem="0" numFmtId="3"/>
    <dataField name="Suma de IC" fld="10" baseField="0" baseItem="0" numFmtId="3"/>
    <dataField name="Suma de INC" fld="11" baseField="0" baseItem="0" numFmtId="3"/>
    <dataField name="Suma de INC Bolsas" fld="12" baseField="0" baseItem="0" numFmtId="3"/>
  </dataFields>
  <formats count="165">
    <format dxfId="164">
      <pivotArea dataOnly="0" labelOnly="1" grandRow="1" outline="0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4" type="button" dataOnly="0" labelOnly="1" outline="0" axis="axisRow" fieldPosition="0"/>
    </format>
    <format dxfId="160">
      <pivotArea field="5" type="button" dataOnly="0" labelOnly="1" outline="0" axis="axisRow" fieldPosition="1"/>
    </format>
    <format dxfId="159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8">
      <pivotArea dataOnly="0" labelOnly="1" outline="0" fieldPosition="0">
        <references count="1">
          <reference field="4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70"/>
            <x v="71"/>
            <x v="72"/>
            <x v="73"/>
            <x v="74"/>
          </reference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2">
          <reference field="4" count="1" selected="0">
            <x v="0"/>
          </reference>
          <reference field="5" count="1">
            <x v="59"/>
          </reference>
        </references>
      </pivotArea>
    </format>
    <format dxfId="155">
      <pivotArea dataOnly="0" labelOnly="1" outline="0" fieldPosition="0">
        <references count="2">
          <reference field="4" count="1" selected="0">
            <x v="1"/>
          </reference>
          <reference field="5" count="1">
            <x v="0"/>
          </reference>
        </references>
      </pivotArea>
    </format>
    <format dxfId="154">
      <pivotArea dataOnly="0" labelOnly="1" outline="0" fieldPosition="0">
        <references count="2">
          <reference field="4" count="1" selected="0">
            <x v="2"/>
          </reference>
          <reference field="5" count="1">
            <x v="60"/>
          </reference>
        </references>
      </pivotArea>
    </format>
    <format dxfId="153">
      <pivotArea dataOnly="0" labelOnly="1" outline="0" fieldPosition="0">
        <references count="2">
          <reference field="4" count="1" selected="0">
            <x v="3"/>
          </reference>
          <reference field="5" count="1">
            <x v="1"/>
          </reference>
        </references>
      </pivotArea>
    </format>
    <format dxfId="152">
      <pivotArea dataOnly="0" labelOnly="1" outline="0" fieldPosition="0">
        <references count="2">
          <reference field="4" count="1" selected="0">
            <x v="4"/>
          </reference>
          <reference field="5" count="1">
            <x v="18"/>
          </reference>
        </references>
      </pivotArea>
    </format>
    <format dxfId="151">
      <pivotArea dataOnly="0" labelOnly="1" outline="0" fieldPosition="0">
        <references count="2">
          <reference field="4" count="1" selected="0">
            <x v="5"/>
          </reference>
          <reference field="5" count="1">
            <x v="45"/>
          </reference>
        </references>
      </pivotArea>
    </format>
    <format dxfId="150">
      <pivotArea dataOnly="0" labelOnly="1" outline="0" fieldPosition="0">
        <references count="2">
          <reference field="4" count="1" selected="0">
            <x v="6"/>
          </reference>
          <reference field="5" count="1">
            <x v="58"/>
          </reference>
        </references>
      </pivotArea>
    </format>
    <format dxfId="149">
      <pivotArea dataOnly="0" labelOnly="1" outline="0" fieldPosition="0">
        <references count="2">
          <reference field="4" count="1" selected="0">
            <x v="7"/>
          </reference>
          <reference field="5" count="1">
            <x v="3"/>
          </reference>
        </references>
      </pivotArea>
    </format>
    <format dxfId="148">
      <pivotArea dataOnly="0" labelOnly="1" outline="0" fieldPosition="0">
        <references count="2">
          <reference field="4" count="1" selected="0">
            <x v="8"/>
          </reference>
          <reference field="5" count="1">
            <x v="76"/>
          </reference>
        </references>
      </pivotArea>
    </format>
    <format dxfId="147">
      <pivotArea dataOnly="0" labelOnly="1" outline="0" fieldPosition="0">
        <references count="2">
          <reference field="4" count="1" selected="0">
            <x v="9"/>
          </reference>
          <reference field="5" count="1">
            <x v="50"/>
          </reference>
        </references>
      </pivotArea>
    </format>
    <format dxfId="146">
      <pivotArea dataOnly="0" labelOnly="1" outline="0" fieldPosition="0">
        <references count="2">
          <reference field="4" count="1" selected="0">
            <x v="10"/>
          </reference>
          <reference field="5" count="1">
            <x v="66"/>
          </reference>
        </references>
      </pivotArea>
    </format>
    <format dxfId="145">
      <pivotArea dataOnly="0" labelOnly="1" outline="0" fieldPosition="0">
        <references count="2">
          <reference field="4" count="1" selected="0">
            <x v="11"/>
          </reference>
          <reference field="5" count="1">
            <x v="39"/>
          </reference>
        </references>
      </pivotArea>
    </format>
    <format dxfId="144">
      <pivotArea dataOnly="0" labelOnly="1" outline="0" fieldPosition="0">
        <references count="2">
          <reference field="4" count="1" selected="0">
            <x v="12"/>
          </reference>
          <reference field="5" count="1">
            <x v="10"/>
          </reference>
        </references>
      </pivotArea>
    </format>
    <format dxfId="143">
      <pivotArea dataOnly="0" labelOnly="1" outline="0" fieldPosition="0">
        <references count="2">
          <reference field="4" count="1" selected="0">
            <x v="13"/>
          </reference>
          <reference field="5" count="1">
            <x v="11"/>
          </reference>
        </references>
      </pivotArea>
    </format>
    <format dxfId="142">
      <pivotArea dataOnly="0" labelOnly="1" outline="0" fieldPosition="0">
        <references count="2">
          <reference field="4" count="1" selected="0">
            <x v="14"/>
          </reference>
          <reference field="5" count="1">
            <x v="40"/>
          </reference>
        </references>
      </pivotArea>
    </format>
    <format dxfId="141">
      <pivotArea dataOnly="0" labelOnly="1" outline="0" fieldPosition="0">
        <references count="2">
          <reference field="4" count="1" selected="0">
            <x v="15"/>
          </reference>
          <reference field="5" count="1">
            <x v="71"/>
          </reference>
        </references>
      </pivotArea>
    </format>
    <format dxfId="140">
      <pivotArea dataOnly="0" labelOnly="1" outline="0" fieldPosition="0">
        <references count="2">
          <reference field="4" count="1" selected="0">
            <x v="16"/>
          </reference>
          <reference field="5" count="1">
            <x v="63"/>
          </reference>
        </references>
      </pivotArea>
    </format>
    <format dxfId="139">
      <pivotArea dataOnly="0" labelOnly="1" outline="0" fieldPosition="0">
        <references count="2">
          <reference field="4" count="1" selected="0">
            <x v="17"/>
          </reference>
          <reference field="5" count="1">
            <x v="19"/>
          </reference>
        </references>
      </pivotArea>
    </format>
    <format dxfId="138">
      <pivotArea dataOnly="0" labelOnly="1" outline="0" fieldPosition="0">
        <references count="2">
          <reference field="4" count="1" selected="0">
            <x v="18"/>
          </reference>
          <reference field="5" count="1">
            <x v="9"/>
          </reference>
        </references>
      </pivotArea>
    </format>
    <format dxfId="137">
      <pivotArea dataOnly="0" labelOnly="1" outline="0" fieldPosition="0">
        <references count="2">
          <reference field="4" count="1" selected="0">
            <x v="19"/>
          </reference>
          <reference field="5" count="1">
            <x v="21"/>
          </reference>
        </references>
      </pivotArea>
    </format>
    <format dxfId="136">
      <pivotArea dataOnly="0" labelOnly="1" outline="0" fieldPosition="0">
        <references count="2">
          <reference field="4" count="1" selected="0">
            <x v="20"/>
          </reference>
          <reference field="5" count="1">
            <x v="61"/>
          </reference>
        </references>
      </pivotArea>
    </format>
    <format dxfId="135">
      <pivotArea dataOnly="0" labelOnly="1" outline="0" fieldPosition="0">
        <references count="2">
          <reference field="4" count="1" selected="0">
            <x v="21"/>
          </reference>
          <reference field="5" count="1">
            <x v="7"/>
          </reference>
        </references>
      </pivotArea>
    </format>
    <format dxfId="134">
      <pivotArea dataOnly="0" labelOnly="1" outline="0" fieldPosition="0">
        <references count="2">
          <reference field="4" count="1" selected="0">
            <x v="22"/>
          </reference>
          <reference field="5" count="1">
            <x v="30"/>
          </reference>
        </references>
      </pivotArea>
    </format>
    <format dxfId="133">
      <pivotArea dataOnly="0" labelOnly="1" outline="0" fieldPosition="0">
        <references count="2">
          <reference field="4" count="1" selected="0">
            <x v="23"/>
          </reference>
          <reference field="5" count="1">
            <x v="74"/>
          </reference>
        </references>
      </pivotArea>
    </format>
    <format dxfId="132">
      <pivotArea dataOnly="0" labelOnly="1" outline="0" fieldPosition="0">
        <references count="2">
          <reference field="4" count="1" selected="0">
            <x v="24"/>
          </reference>
          <reference field="5" count="1">
            <x v="14"/>
          </reference>
        </references>
      </pivotArea>
    </format>
    <format dxfId="131">
      <pivotArea dataOnly="0" labelOnly="1" outline="0" fieldPosition="0">
        <references count="2">
          <reference field="4" count="1" selected="0">
            <x v="25"/>
          </reference>
          <reference field="5" count="1">
            <x v="52"/>
          </reference>
        </references>
      </pivotArea>
    </format>
    <format dxfId="130">
      <pivotArea dataOnly="0" labelOnly="1" outline="0" fieldPosition="0">
        <references count="2">
          <reference field="4" count="1" selected="0">
            <x v="26"/>
          </reference>
          <reference field="5" count="1">
            <x v="24"/>
          </reference>
        </references>
      </pivotArea>
    </format>
    <format dxfId="129">
      <pivotArea dataOnly="0" labelOnly="1" outline="0" fieldPosition="0">
        <references count="2">
          <reference field="4" count="1" selected="0">
            <x v="27"/>
          </reference>
          <reference field="5" count="1">
            <x v="73"/>
          </reference>
        </references>
      </pivotArea>
    </format>
    <format dxfId="128">
      <pivotArea dataOnly="0" labelOnly="1" outline="0" fieldPosition="0">
        <references count="2">
          <reference field="4" count="1" selected="0">
            <x v="28"/>
          </reference>
          <reference field="5" count="1">
            <x v="75"/>
          </reference>
        </references>
      </pivotArea>
    </format>
    <format dxfId="127">
      <pivotArea dataOnly="0" labelOnly="1" outline="0" fieldPosition="0">
        <references count="2">
          <reference field="4" count="1" selected="0">
            <x v="29"/>
          </reference>
          <reference field="5" count="1">
            <x v="23"/>
          </reference>
        </references>
      </pivotArea>
    </format>
    <format dxfId="126">
      <pivotArea dataOnly="0" labelOnly="1" outline="0" fieldPosition="0">
        <references count="2">
          <reference field="4" count="1" selected="0">
            <x v="30"/>
          </reference>
          <reference field="5" count="1">
            <x v="28"/>
          </reference>
        </references>
      </pivotArea>
    </format>
    <format dxfId="125">
      <pivotArea dataOnly="0" labelOnly="1" outline="0" fieldPosition="0">
        <references count="2">
          <reference field="4" count="1" selected="0">
            <x v="31"/>
          </reference>
          <reference field="5" count="1">
            <x v="41"/>
          </reference>
        </references>
      </pivotArea>
    </format>
    <format dxfId="124">
      <pivotArea dataOnly="0" labelOnly="1" outline="0" fieldPosition="0">
        <references count="2">
          <reference field="4" count="1" selected="0">
            <x v="32"/>
          </reference>
          <reference field="5" count="1">
            <x v="16"/>
          </reference>
        </references>
      </pivotArea>
    </format>
    <format dxfId="123">
      <pivotArea dataOnly="0" labelOnly="1" outline="0" fieldPosition="0">
        <references count="2">
          <reference field="4" count="1" selected="0">
            <x v="33"/>
          </reference>
          <reference field="5" count="1">
            <x v="65"/>
          </reference>
        </references>
      </pivotArea>
    </format>
    <format dxfId="122">
      <pivotArea dataOnly="0" labelOnly="1" outline="0" fieldPosition="0">
        <references count="2">
          <reference field="4" count="1" selected="0">
            <x v="34"/>
          </reference>
          <reference field="5" count="1">
            <x v="44"/>
          </reference>
        </references>
      </pivotArea>
    </format>
    <format dxfId="121">
      <pivotArea dataOnly="0" labelOnly="1" outline="0" fieldPosition="0">
        <references count="2">
          <reference field="4" count="1" selected="0">
            <x v="35"/>
          </reference>
          <reference field="5" count="1">
            <x v="78"/>
          </reference>
        </references>
      </pivotArea>
    </format>
    <format dxfId="120">
      <pivotArea dataOnly="0" labelOnly="1" outline="0" fieldPosition="0">
        <references count="2">
          <reference field="4" count="1" selected="0">
            <x v="36"/>
          </reference>
          <reference field="5" count="1">
            <x v="42"/>
          </reference>
        </references>
      </pivotArea>
    </format>
    <format dxfId="119">
      <pivotArea dataOnly="0" labelOnly="1" outline="0" fieldPosition="0">
        <references count="2">
          <reference field="4" count="1" selected="0">
            <x v="37"/>
          </reference>
          <reference field="5" count="1">
            <x v="54"/>
          </reference>
        </references>
      </pivotArea>
    </format>
    <format dxfId="118">
      <pivotArea dataOnly="0" labelOnly="1" outline="0" fieldPosition="0">
        <references count="2">
          <reference field="4" count="1" selected="0">
            <x v="38"/>
          </reference>
          <reference field="5" count="1">
            <x v="22"/>
          </reference>
        </references>
      </pivotArea>
    </format>
    <format dxfId="117">
      <pivotArea dataOnly="0" labelOnly="1" outline="0" fieldPosition="0">
        <references count="2">
          <reference field="4" count="1" selected="0">
            <x v="39"/>
          </reference>
          <reference field="5" count="1">
            <x v="35"/>
          </reference>
        </references>
      </pivotArea>
    </format>
    <format dxfId="116">
      <pivotArea dataOnly="0" labelOnly="1" outline="0" fieldPosition="0">
        <references count="2">
          <reference field="4" count="1" selected="0">
            <x v="40"/>
          </reference>
          <reference field="5" count="1">
            <x v="27"/>
          </reference>
        </references>
      </pivotArea>
    </format>
    <format dxfId="115">
      <pivotArea dataOnly="0" labelOnly="1" outline="0" fieldPosition="0">
        <references count="2">
          <reference field="4" count="1" selected="0">
            <x v="41"/>
          </reference>
          <reference field="5" count="1">
            <x v="34"/>
          </reference>
        </references>
      </pivotArea>
    </format>
    <format dxfId="114">
      <pivotArea dataOnly="0" labelOnly="1" outline="0" fieldPosition="0">
        <references count="2">
          <reference field="4" count="1" selected="0">
            <x v="42"/>
          </reference>
          <reference field="5" count="1">
            <x v="57"/>
          </reference>
        </references>
      </pivotArea>
    </format>
    <format dxfId="113">
      <pivotArea dataOnly="0" labelOnly="1" outline="0" fieldPosition="0">
        <references count="2">
          <reference field="4" count="1" selected="0">
            <x v="43"/>
          </reference>
          <reference field="5" count="1">
            <x v="31"/>
          </reference>
        </references>
      </pivotArea>
    </format>
    <format dxfId="112">
      <pivotArea dataOnly="0" labelOnly="1" outline="0" fieldPosition="0">
        <references count="2">
          <reference field="4" count="1" selected="0">
            <x v="44"/>
          </reference>
          <reference field="5" count="1">
            <x v="32"/>
          </reference>
        </references>
      </pivotArea>
    </format>
    <format dxfId="111">
      <pivotArea dataOnly="0" labelOnly="1" outline="0" fieldPosition="0">
        <references count="2">
          <reference field="4" count="1" selected="0">
            <x v="45"/>
          </reference>
          <reference field="5" count="1">
            <x v="13"/>
          </reference>
        </references>
      </pivotArea>
    </format>
    <format dxfId="110">
      <pivotArea dataOnly="0" labelOnly="1" outline="0" fieldPosition="0">
        <references count="2">
          <reference field="4" count="1" selected="0">
            <x v="46"/>
          </reference>
          <reference field="5" count="1">
            <x v="12"/>
          </reference>
        </references>
      </pivotArea>
    </format>
    <format dxfId="109">
      <pivotArea dataOnly="0" labelOnly="1" outline="0" fieldPosition="0">
        <references count="2">
          <reference field="4" count="1" selected="0">
            <x v="47"/>
          </reference>
          <reference field="5" count="1">
            <x v="17"/>
          </reference>
        </references>
      </pivotArea>
    </format>
    <format dxfId="108">
      <pivotArea dataOnly="0" labelOnly="1" outline="0" fieldPosition="0">
        <references count="2">
          <reference field="4" count="1" selected="0">
            <x v="48"/>
          </reference>
          <reference field="5" count="1">
            <x v="64"/>
          </reference>
        </references>
      </pivotArea>
    </format>
    <format dxfId="107">
      <pivotArea dataOnly="0" labelOnly="1" outline="0" fieldPosition="0">
        <references count="2">
          <reference field="4" count="1" selected="0">
            <x v="49"/>
          </reference>
          <reference field="5" count="1">
            <x v="43"/>
          </reference>
        </references>
      </pivotArea>
    </format>
    <format dxfId="106">
      <pivotArea dataOnly="0" labelOnly="1" outline="0" fieldPosition="0">
        <references count="2">
          <reference field="4" count="1" selected="0">
            <x v="50"/>
          </reference>
          <reference field="5" count="1">
            <x v="37"/>
          </reference>
        </references>
      </pivotArea>
    </format>
    <format dxfId="105">
      <pivotArea dataOnly="0" labelOnly="1" outline="0" fieldPosition="0">
        <references count="2">
          <reference field="4" count="1" selected="0">
            <x v="51"/>
          </reference>
          <reference field="5" count="1">
            <x v="67"/>
          </reference>
        </references>
      </pivotArea>
    </format>
    <format dxfId="104">
      <pivotArea dataOnly="0" labelOnly="1" outline="0" fieldPosition="0">
        <references count="2">
          <reference field="4" count="1" selected="0">
            <x v="52"/>
          </reference>
          <reference field="5" count="1">
            <x v="77"/>
          </reference>
        </references>
      </pivotArea>
    </format>
    <format dxfId="103">
      <pivotArea dataOnly="0" labelOnly="1" outline="0" fieldPosition="0">
        <references count="2">
          <reference field="4" count="1" selected="0">
            <x v="53"/>
          </reference>
          <reference field="5" count="1">
            <x v="55"/>
          </reference>
        </references>
      </pivotArea>
    </format>
    <format dxfId="102">
      <pivotArea dataOnly="0" labelOnly="1" outline="0" fieldPosition="0">
        <references count="2">
          <reference field="4" count="1" selected="0">
            <x v="54"/>
          </reference>
          <reference field="5" count="1">
            <x v="62"/>
          </reference>
        </references>
      </pivotArea>
    </format>
    <format dxfId="101">
      <pivotArea dataOnly="0" labelOnly="1" outline="0" fieldPosition="0">
        <references count="2">
          <reference field="4" count="1" selected="0">
            <x v="55"/>
          </reference>
          <reference field="5" count="1">
            <x v="25"/>
          </reference>
        </references>
      </pivotArea>
    </format>
    <format dxfId="100">
      <pivotArea dataOnly="0" labelOnly="1" outline="0" fieldPosition="0">
        <references count="2">
          <reference field="4" count="1" selected="0">
            <x v="56"/>
          </reference>
          <reference field="5" count="1">
            <x v="49"/>
          </reference>
        </references>
      </pivotArea>
    </format>
    <format dxfId="99">
      <pivotArea dataOnly="0" labelOnly="1" outline="0" fieldPosition="0">
        <references count="2">
          <reference field="4" count="1" selected="0">
            <x v="57"/>
          </reference>
          <reference field="5" count="1">
            <x v="38"/>
          </reference>
        </references>
      </pivotArea>
    </format>
    <format dxfId="98">
      <pivotArea dataOnly="0" labelOnly="1" outline="0" fieldPosition="0">
        <references count="2">
          <reference field="4" count="1" selected="0">
            <x v="58"/>
          </reference>
          <reference field="5" count="1">
            <x v="68"/>
          </reference>
        </references>
      </pivotArea>
    </format>
    <format dxfId="97">
      <pivotArea dataOnly="0" labelOnly="1" outline="0" fieldPosition="0">
        <references count="2">
          <reference field="4" count="1" selected="0">
            <x v="59"/>
          </reference>
          <reference field="5" count="1">
            <x v="53"/>
          </reference>
        </references>
      </pivotArea>
    </format>
    <format dxfId="96">
      <pivotArea dataOnly="0" labelOnly="1" outline="0" fieldPosition="0">
        <references count="2">
          <reference field="4" count="1" selected="0">
            <x v="60"/>
          </reference>
          <reference field="5" count="1">
            <x v="36"/>
          </reference>
        </references>
      </pivotArea>
    </format>
    <format dxfId="95">
      <pivotArea dataOnly="0" labelOnly="1" outline="0" fieldPosition="0">
        <references count="2">
          <reference field="4" count="1" selected="0">
            <x v="61"/>
          </reference>
          <reference field="5" count="1">
            <x v="20"/>
          </reference>
        </references>
      </pivotArea>
    </format>
    <format dxfId="94">
      <pivotArea dataOnly="0" labelOnly="1" outline="0" fieldPosition="0">
        <references count="2">
          <reference field="4" count="1" selected="0">
            <x v="62"/>
          </reference>
          <reference field="5" count="1">
            <x v="33"/>
          </reference>
        </references>
      </pivotArea>
    </format>
    <format dxfId="93">
      <pivotArea dataOnly="0" labelOnly="1" outline="0" fieldPosition="0">
        <references count="2">
          <reference field="4" count="1" selected="0">
            <x v="63"/>
          </reference>
          <reference field="5" count="1">
            <x v="8"/>
          </reference>
        </references>
      </pivotArea>
    </format>
    <format dxfId="92">
      <pivotArea dataOnly="0" labelOnly="1" outline="0" fieldPosition="0">
        <references count="2">
          <reference field="4" count="1" selected="0">
            <x v="64"/>
          </reference>
          <reference field="5" count="1">
            <x v="51"/>
          </reference>
        </references>
      </pivotArea>
    </format>
    <format dxfId="91">
      <pivotArea dataOnly="0" labelOnly="1" outline="0" fieldPosition="0">
        <references count="2">
          <reference field="4" count="1" selected="0">
            <x v="65"/>
          </reference>
          <reference field="5" count="1">
            <x v="47"/>
          </reference>
        </references>
      </pivotArea>
    </format>
    <format dxfId="90">
      <pivotArea dataOnly="0" labelOnly="1" outline="0" fieldPosition="0">
        <references count="2">
          <reference field="4" count="1" selected="0">
            <x v="66"/>
          </reference>
          <reference field="5" count="1">
            <x v="15"/>
          </reference>
        </references>
      </pivotArea>
    </format>
    <format dxfId="89">
      <pivotArea dataOnly="0" labelOnly="1" outline="0" fieldPosition="0">
        <references count="2">
          <reference field="4" count="1" selected="0">
            <x v="67"/>
          </reference>
          <reference field="5" count="1">
            <x v="29"/>
          </reference>
        </references>
      </pivotArea>
    </format>
    <format dxfId="88">
      <pivotArea dataOnly="0" labelOnly="1" outline="0" fieldPosition="0">
        <references count="2">
          <reference field="4" count="1" selected="0">
            <x v="68"/>
          </reference>
          <reference field="5" count="1">
            <x v="6"/>
          </reference>
        </references>
      </pivotArea>
    </format>
    <format dxfId="87">
      <pivotArea dataOnly="0" labelOnly="1" outline="0" fieldPosition="0">
        <references count="2">
          <reference field="4" count="1" selected="0">
            <x v="70"/>
          </reference>
          <reference field="5" count="1">
            <x v="46"/>
          </reference>
        </references>
      </pivotArea>
    </format>
    <format dxfId="86">
      <pivotArea dataOnly="0" labelOnly="1" outline="0" fieldPosition="0">
        <references count="2">
          <reference field="4" count="1" selected="0">
            <x v="71"/>
          </reference>
          <reference field="5" count="1">
            <x v="70"/>
          </reference>
        </references>
      </pivotArea>
    </format>
    <format dxfId="85">
      <pivotArea dataOnly="0" labelOnly="1" outline="0" fieldPosition="0">
        <references count="2">
          <reference field="4" count="1" selected="0">
            <x v="72"/>
          </reference>
          <reference field="5" count="1">
            <x v="56"/>
          </reference>
        </references>
      </pivotArea>
    </format>
    <format dxfId="84">
      <pivotArea dataOnly="0" labelOnly="1" outline="0" fieldPosition="0">
        <references count="2">
          <reference field="4" count="1" selected="0">
            <x v="73"/>
          </reference>
          <reference field="5" count="1">
            <x v="2"/>
          </reference>
        </references>
      </pivotArea>
    </format>
    <format dxfId="83">
      <pivotArea dataOnly="0" labelOnly="1" outline="0" fieldPosition="0">
        <references count="2">
          <reference field="4" count="1" selected="0">
            <x v="74"/>
          </reference>
          <reference field="5" count="1">
            <x v="4"/>
          </reference>
        </references>
      </pivotArea>
    </format>
    <format dxfId="8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4" type="button" dataOnly="0" labelOnly="1" outline="0" axis="axisRow" fieldPosition="0"/>
    </format>
    <format dxfId="78">
      <pivotArea field="5" type="button" dataOnly="0" labelOnly="1" outline="0" axis="axisRow" fieldPosition="1"/>
    </format>
    <format dxfId="77">
      <pivotArea dataOnly="0" labelOnly="1" outline="0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6">
      <pivotArea dataOnly="0" labelOnly="1" outline="0" fieldPosition="0">
        <references count="1">
          <reference field="4" count="2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70"/>
            <x v="71"/>
            <x v="72"/>
            <x v="73"/>
            <x v="74"/>
          </reference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2">
          <reference field="4" count="1" selected="0">
            <x v="0"/>
          </reference>
          <reference field="5" count="1">
            <x v="59"/>
          </reference>
        </references>
      </pivotArea>
    </format>
    <format dxfId="73">
      <pivotArea dataOnly="0" labelOnly="1" outline="0" fieldPosition="0">
        <references count="2">
          <reference field="4" count="1" selected="0">
            <x v="1"/>
          </reference>
          <reference field="5" count="1">
            <x v="0"/>
          </reference>
        </references>
      </pivotArea>
    </format>
    <format dxfId="72">
      <pivotArea dataOnly="0" labelOnly="1" outline="0" fieldPosition="0">
        <references count="2">
          <reference field="4" count="1" selected="0">
            <x v="2"/>
          </reference>
          <reference field="5" count="1">
            <x v="60"/>
          </reference>
        </references>
      </pivotArea>
    </format>
    <format dxfId="71">
      <pivotArea dataOnly="0" labelOnly="1" outline="0" fieldPosition="0">
        <references count="2">
          <reference field="4" count="1" selected="0">
            <x v="3"/>
          </reference>
          <reference field="5" count="1">
            <x v="1"/>
          </reference>
        </references>
      </pivotArea>
    </format>
    <format dxfId="70">
      <pivotArea dataOnly="0" labelOnly="1" outline="0" fieldPosition="0">
        <references count="2">
          <reference field="4" count="1" selected="0">
            <x v="4"/>
          </reference>
          <reference field="5" count="1">
            <x v="18"/>
          </reference>
        </references>
      </pivotArea>
    </format>
    <format dxfId="69">
      <pivotArea dataOnly="0" labelOnly="1" outline="0" fieldPosition="0">
        <references count="2">
          <reference field="4" count="1" selected="0">
            <x v="5"/>
          </reference>
          <reference field="5" count="1">
            <x v="45"/>
          </reference>
        </references>
      </pivotArea>
    </format>
    <format dxfId="68">
      <pivotArea dataOnly="0" labelOnly="1" outline="0" fieldPosition="0">
        <references count="2">
          <reference field="4" count="1" selected="0">
            <x v="6"/>
          </reference>
          <reference field="5" count="1">
            <x v="58"/>
          </reference>
        </references>
      </pivotArea>
    </format>
    <format dxfId="67">
      <pivotArea dataOnly="0" labelOnly="1" outline="0" fieldPosition="0">
        <references count="2">
          <reference field="4" count="1" selected="0">
            <x v="7"/>
          </reference>
          <reference field="5" count="1">
            <x v="3"/>
          </reference>
        </references>
      </pivotArea>
    </format>
    <format dxfId="66">
      <pivotArea dataOnly="0" labelOnly="1" outline="0" fieldPosition="0">
        <references count="2">
          <reference field="4" count="1" selected="0">
            <x v="8"/>
          </reference>
          <reference field="5" count="1">
            <x v="76"/>
          </reference>
        </references>
      </pivotArea>
    </format>
    <format dxfId="65">
      <pivotArea dataOnly="0" labelOnly="1" outline="0" fieldPosition="0">
        <references count="2">
          <reference field="4" count="1" selected="0">
            <x v="9"/>
          </reference>
          <reference field="5" count="1">
            <x v="50"/>
          </reference>
        </references>
      </pivotArea>
    </format>
    <format dxfId="64">
      <pivotArea dataOnly="0" labelOnly="1" outline="0" fieldPosition="0">
        <references count="2">
          <reference field="4" count="1" selected="0">
            <x v="10"/>
          </reference>
          <reference field="5" count="1">
            <x v="66"/>
          </reference>
        </references>
      </pivotArea>
    </format>
    <format dxfId="63">
      <pivotArea dataOnly="0" labelOnly="1" outline="0" fieldPosition="0">
        <references count="2">
          <reference field="4" count="1" selected="0">
            <x v="11"/>
          </reference>
          <reference field="5" count="1">
            <x v="39"/>
          </reference>
        </references>
      </pivotArea>
    </format>
    <format dxfId="62">
      <pivotArea dataOnly="0" labelOnly="1" outline="0" fieldPosition="0">
        <references count="2">
          <reference field="4" count="1" selected="0">
            <x v="12"/>
          </reference>
          <reference field="5" count="1">
            <x v="10"/>
          </reference>
        </references>
      </pivotArea>
    </format>
    <format dxfId="61">
      <pivotArea dataOnly="0" labelOnly="1" outline="0" fieldPosition="0">
        <references count="2">
          <reference field="4" count="1" selected="0">
            <x v="13"/>
          </reference>
          <reference field="5" count="1">
            <x v="11"/>
          </reference>
        </references>
      </pivotArea>
    </format>
    <format dxfId="60">
      <pivotArea dataOnly="0" labelOnly="1" outline="0" fieldPosition="0">
        <references count="2">
          <reference field="4" count="1" selected="0">
            <x v="14"/>
          </reference>
          <reference field="5" count="1">
            <x v="40"/>
          </reference>
        </references>
      </pivotArea>
    </format>
    <format dxfId="59">
      <pivotArea dataOnly="0" labelOnly="1" outline="0" fieldPosition="0">
        <references count="2">
          <reference field="4" count="1" selected="0">
            <x v="15"/>
          </reference>
          <reference field="5" count="1">
            <x v="71"/>
          </reference>
        </references>
      </pivotArea>
    </format>
    <format dxfId="58">
      <pivotArea dataOnly="0" labelOnly="1" outline="0" fieldPosition="0">
        <references count="2">
          <reference field="4" count="1" selected="0">
            <x v="16"/>
          </reference>
          <reference field="5" count="1">
            <x v="63"/>
          </reference>
        </references>
      </pivotArea>
    </format>
    <format dxfId="57">
      <pivotArea dataOnly="0" labelOnly="1" outline="0" fieldPosition="0">
        <references count="2">
          <reference field="4" count="1" selected="0">
            <x v="17"/>
          </reference>
          <reference field="5" count="1">
            <x v="19"/>
          </reference>
        </references>
      </pivotArea>
    </format>
    <format dxfId="56">
      <pivotArea dataOnly="0" labelOnly="1" outline="0" fieldPosition="0">
        <references count="2">
          <reference field="4" count="1" selected="0">
            <x v="18"/>
          </reference>
          <reference field="5" count="1">
            <x v="9"/>
          </reference>
        </references>
      </pivotArea>
    </format>
    <format dxfId="55">
      <pivotArea dataOnly="0" labelOnly="1" outline="0" fieldPosition="0">
        <references count="2">
          <reference field="4" count="1" selected="0">
            <x v="19"/>
          </reference>
          <reference field="5" count="1">
            <x v="21"/>
          </reference>
        </references>
      </pivotArea>
    </format>
    <format dxfId="54">
      <pivotArea dataOnly="0" labelOnly="1" outline="0" fieldPosition="0">
        <references count="2">
          <reference field="4" count="1" selected="0">
            <x v="20"/>
          </reference>
          <reference field="5" count="1">
            <x v="61"/>
          </reference>
        </references>
      </pivotArea>
    </format>
    <format dxfId="53">
      <pivotArea dataOnly="0" labelOnly="1" outline="0" fieldPosition="0">
        <references count="2">
          <reference field="4" count="1" selected="0">
            <x v="21"/>
          </reference>
          <reference field="5" count="1">
            <x v="7"/>
          </reference>
        </references>
      </pivotArea>
    </format>
    <format dxfId="52">
      <pivotArea dataOnly="0" labelOnly="1" outline="0" fieldPosition="0">
        <references count="2">
          <reference field="4" count="1" selected="0">
            <x v="22"/>
          </reference>
          <reference field="5" count="1">
            <x v="30"/>
          </reference>
        </references>
      </pivotArea>
    </format>
    <format dxfId="51">
      <pivotArea dataOnly="0" labelOnly="1" outline="0" fieldPosition="0">
        <references count="2">
          <reference field="4" count="1" selected="0">
            <x v="23"/>
          </reference>
          <reference field="5" count="1">
            <x v="74"/>
          </reference>
        </references>
      </pivotArea>
    </format>
    <format dxfId="50">
      <pivotArea dataOnly="0" labelOnly="1" outline="0" fieldPosition="0">
        <references count="2">
          <reference field="4" count="1" selected="0">
            <x v="24"/>
          </reference>
          <reference field="5" count="1">
            <x v="14"/>
          </reference>
        </references>
      </pivotArea>
    </format>
    <format dxfId="49">
      <pivotArea dataOnly="0" labelOnly="1" outline="0" fieldPosition="0">
        <references count="2">
          <reference field="4" count="1" selected="0">
            <x v="25"/>
          </reference>
          <reference field="5" count="1">
            <x v="52"/>
          </reference>
        </references>
      </pivotArea>
    </format>
    <format dxfId="48">
      <pivotArea dataOnly="0" labelOnly="1" outline="0" fieldPosition="0">
        <references count="2">
          <reference field="4" count="1" selected="0">
            <x v="26"/>
          </reference>
          <reference field="5" count="1">
            <x v="24"/>
          </reference>
        </references>
      </pivotArea>
    </format>
    <format dxfId="47">
      <pivotArea dataOnly="0" labelOnly="1" outline="0" fieldPosition="0">
        <references count="2">
          <reference field="4" count="1" selected="0">
            <x v="27"/>
          </reference>
          <reference field="5" count="1">
            <x v="73"/>
          </reference>
        </references>
      </pivotArea>
    </format>
    <format dxfId="46">
      <pivotArea dataOnly="0" labelOnly="1" outline="0" fieldPosition="0">
        <references count="2">
          <reference field="4" count="1" selected="0">
            <x v="28"/>
          </reference>
          <reference field="5" count="1">
            <x v="75"/>
          </reference>
        </references>
      </pivotArea>
    </format>
    <format dxfId="45">
      <pivotArea dataOnly="0" labelOnly="1" outline="0" fieldPosition="0">
        <references count="2">
          <reference field="4" count="1" selected="0">
            <x v="29"/>
          </reference>
          <reference field="5" count="1">
            <x v="23"/>
          </reference>
        </references>
      </pivotArea>
    </format>
    <format dxfId="44">
      <pivotArea dataOnly="0" labelOnly="1" outline="0" fieldPosition="0">
        <references count="2">
          <reference field="4" count="1" selected="0">
            <x v="30"/>
          </reference>
          <reference field="5" count="1">
            <x v="28"/>
          </reference>
        </references>
      </pivotArea>
    </format>
    <format dxfId="43">
      <pivotArea dataOnly="0" labelOnly="1" outline="0" fieldPosition="0">
        <references count="2">
          <reference field="4" count="1" selected="0">
            <x v="31"/>
          </reference>
          <reference field="5" count="1">
            <x v="41"/>
          </reference>
        </references>
      </pivotArea>
    </format>
    <format dxfId="42">
      <pivotArea dataOnly="0" labelOnly="1" outline="0" fieldPosition="0">
        <references count="2">
          <reference field="4" count="1" selected="0">
            <x v="32"/>
          </reference>
          <reference field="5" count="1">
            <x v="16"/>
          </reference>
        </references>
      </pivotArea>
    </format>
    <format dxfId="41">
      <pivotArea dataOnly="0" labelOnly="1" outline="0" fieldPosition="0">
        <references count="2">
          <reference field="4" count="1" selected="0">
            <x v="33"/>
          </reference>
          <reference field="5" count="1">
            <x v="65"/>
          </reference>
        </references>
      </pivotArea>
    </format>
    <format dxfId="40">
      <pivotArea dataOnly="0" labelOnly="1" outline="0" fieldPosition="0">
        <references count="2">
          <reference field="4" count="1" selected="0">
            <x v="34"/>
          </reference>
          <reference field="5" count="1">
            <x v="44"/>
          </reference>
        </references>
      </pivotArea>
    </format>
    <format dxfId="39">
      <pivotArea dataOnly="0" labelOnly="1" outline="0" fieldPosition="0">
        <references count="2">
          <reference field="4" count="1" selected="0">
            <x v="35"/>
          </reference>
          <reference field="5" count="1">
            <x v="78"/>
          </reference>
        </references>
      </pivotArea>
    </format>
    <format dxfId="38">
      <pivotArea dataOnly="0" labelOnly="1" outline="0" fieldPosition="0">
        <references count="2">
          <reference field="4" count="1" selected="0">
            <x v="36"/>
          </reference>
          <reference field="5" count="1">
            <x v="42"/>
          </reference>
        </references>
      </pivotArea>
    </format>
    <format dxfId="37">
      <pivotArea dataOnly="0" labelOnly="1" outline="0" fieldPosition="0">
        <references count="2">
          <reference field="4" count="1" selected="0">
            <x v="37"/>
          </reference>
          <reference field="5" count="1">
            <x v="54"/>
          </reference>
        </references>
      </pivotArea>
    </format>
    <format dxfId="36">
      <pivotArea dataOnly="0" labelOnly="1" outline="0" fieldPosition="0">
        <references count="2">
          <reference field="4" count="1" selected="0">
            <x v="38"/>
          </reference>
          <reference field="5" count="1">
            <x v="22"/>
          </reference>
        </references>
      </pivotArea>
    </format>
    <format dxfId="35">
      <pivotArea dataOnly="0" labelOnly="1" outline="0" fieldPosition="0">
        <references count="2">
          <reference field="4" count="1" selected="0">
            <x v="39"/>
          </reference>
          <reference field="5" count="1">
            <x v="35"/>
          </reference>
        </references>
      </pivotArea>
    </format>
    <format dxfId="34">
      <pivotArea dataOnly="0" labelOnly="1" outline="0" fieldPosition="0">
        <references count="2">
          <reference field="4" count="1" selected="0">
            <x v="40"/>
          </reference>
          <reference field="5" count="1">
            <x v="27"/>
          </reference>
        </references>
      </pivotArea>
    </format>
    <format dxfId="33">
      <pivotArea dataOnly="0" labelOnly="1" outline="0" fieldPosition="0">
        <references count="2">
          <reference field="4" count="1" selected="0">
            <x v="41"/>
          </reference>
          <reference field="5" count="1">
            <x v="34"/>
          </reference>
        </references>
      </pivotArea>
    </format>
    <format dxfId="32">
      <pivotArea dataOnly="0" labelOnly="1" outline="0" fieldPosition="0">
        <references count="2">
          <reference field="4" count="1" selected="0">
            <x v="42"/>
          </reference>
          <reference field="5" count="1">
            <x v="57"/>
          </reference>
        </references>
      </pivotArea>
    </format>
    <format dxfId="31">
      <pivotArea dataOnly="0" labelOnly="1" outline="0" fieldPosition="0">
        <references count="2">
          <reference field="4" count="1" selected="0">
            <x v="43"/>
          </reference>
          <reference field="5" count="1">
            <x v="31"/>
          </reference>
        </references>
      </pivotArea>
    </format>
    <format dxfId="30">
      <pivotArea dataOnly="0" labelOnly="1" outline="0" fieldPosition="0">
        <references count="2">
          <reference field="4" count="1" selected="0">
            <x v="44"/>
          </reference>
          <reference field="5" count="1">
            <x v="32"/>
          </reference>
        </references>
      </pivotArea>
    </format>
    <format dxfId="29">
      <pivotArea dataOnly="0" labelOnly="1" outline="0" fieldPosition="0">
        <references count="2">
          <reference field="4" count="1" selected="0">
            <x v="45"/>
          </reference>
          <reference field="5" count="1">
            <x v="13"/>
          </reference>
        </references>
      </pivotArea>
    </format>
    <format dxfId="28">
      <pivotArea dataOnly="0" labelOnly="1" outline="0" fieldPosition="0">
        <references count="2">
          <reference field="4" count="1" selected="0">
            <x v="46"/>
          </reference>
          <reference field="5" count="1">
            <x v="12"/>
          </reference>
        </references>
      </pivotArea>
    </format>
    <format dxfId="27">
      <pivotArea dataOnly="0" labelOnly="1" outline="0" fieldPosition="0">
        <references count="2">
          <reference field="4" count="1" selected="0">
            <x v="47"/>
          </reference>
          <reference field="5" count="1">
            <x v="17"/>
          </reference>
        </references>
      </pivotArea>
    </format>
    <format dxfId="26">
      <pivotArea dataOnly="0" labelOnly="1" outline="0" fieldPosition="0">
        <references count="2">
          <reference field="4" count="1" selected="0">
            <x v="48"/>
          </reference>
          <reference field="5" count="1">
            <x v="64"/>
          </reference>
        </references>
      </pivotArea>
    </format>
    <format dxfId="25">
      <pivotArea dataOnly="0" labelOnly="1" outline="0" fieldPosition="0">
        <references count="2">
          <reference field="4" count="1" selected="0">
            <x v="49"/>
          </reference>
          <reference field="5" count="1">
            <x v="43"/>
          </reference>
        </references>
      </pivotArea>
    </format>
    <format dxfId="24">
      <pivotArea dataOnly="0" labelOnly="1" outline="0" fieldPosition="0">
        <references count="2">
          <reference field="4" count="1" selected="0">
            <x v="50"/>
          </reference>
          <reference field="5" count="1">
            <x v="37"/>
          </reference>
        </references>
      </pivotArea>
    </format>
    <format dxfId="23">
      <pivotArea dataOnly="0" labelOnly="1" outline="0" fieldPosition="0">
        <references count="2">
          <reference field="4" count="1" selected="0">
            <x v="51"/>
          </reference>
          <reference field="5" count="1">
            <x v="67"/>
          </reference>
        </references>
      </pivotArea>
    </format>
    <format dxfId="22">
      <pivotArea dataOnly="0" labelOnly="1" outline="0" fieldPosition="0">
        <references count="2">
          <reference field="4" count="1" selected="0">
            <x v="52"/>
          </reference>
          <reference field="5" count="1">
            <x v="77"/>
          </reference>
        </references>
      </pivotArea>
    </format>
    <format dxfId="21">
      <pivotArea dataOnly="0" labelOnly="1" outline="0" fieldPosition="0">
        <references count="2">
          <reference field="4" count="1" selected="0">
            <x v="53"/>
          </reference>
          <reference field="5" count="1">
            <x v="55"/>
          </reference>
        </references>
      </pivotArea>
    </format>
    <format dxfId="20">
      <pivotArea dataOnly="0" labelOnly="1" outline="0" fieldPosition="0">
        <references count="2">
          <reference field="4" count="1" selected="0">
            <x v="54"/>
          </reference>
          <reference field="5" count="1">
            <x v="62"/>
          </reference>
        </references>
      </pivotArea>
    </format>
    <format dxfId="19">
      <pivotArea dataOnly="0" labelOnly="1" outline="0" fieldPosition="0">
        <references count="2">
          <reference field="4" count="1" selected="0">
            <x v="55"/>
          </reference>
          <reference field="5" count="1">
            <x v="25"/>
          </reference>
        </references>
      </pivotArea>
    </format>
    <format dxfId="18">
      <pivotArea dataOnly="0" labelOnly="1" outline="0" fieldPosition="0">
        <references count="2">
          <reference field="4" count="1" selected="0">
            <x v="56"/>
          </reference>
          <reference field="5" count="1">
            <x v="49"/>
          </reference>
        </references>
      </pivotArea>
    </format>
    <format dxfId="17">
      <pivotArea dataOnly="0" labelOnly="1" outline="0" fieldPosition="0">
        <references count="2">
          <reference field="4" count="1" selected="0">
            <x v="57"/>
          </reference>
          <reference field="5" count="1">
            <x v="38"/>
          </reference>
        </references>
      </pivotArea>
    </format>
    <format dxfId="16">
      <pivotArea dataOnly="0" labelOnly="1" outline="0" fieldPosition="0">
        <references count="2">
          <reference field="4" count="1" selected="0">
            <x v="58"/>
          </reference>
          <reference field="5" count="1">
            <x v="68"/>
          </reference>
        </references>
      </pivotArea>
    </format>
    <format dxfId="15">
      <pivotArea dataOnly="0" labelOnly="1" outline="0" fieldPosition="0">
        <references count="2">
          <reference field="4" count="1" selected="0">
            <x v="59"/>
          </reference>
          <reference field="5" count="1">
            <x v="53"/>
          </reference>
        </references>
      </pivotArea>
    </format>
    <format dxfId="14">
      <pivotArea dataOnly="0" labelOnly="1" outline="0" fieldPosition="0">
        <references count="2">
          <reference field="4" count="1" selected="0">
            <x v="60"/>
          </reference>
          <reference field="5" count="1">
            <x v="36"/>
          </reference>
        </references>
      </pivotArea>
    </format>
    <format dxfId="13">
      <pivotArea dataOnly="0" labelOnly="1" outline="0" fieldPosition="0">
        <references count="2">
          <reference field="4" count="1" selected="0">
            <x v="61"/>
          </reference>
          <reference field="5" count="1">
            <x v="20"/>
          </reference>
        </references>
      </pivotArea>
    </format>
    <format dxfId="12">
      <pivotArea dataOnly="0" labelOnly="1" outline="0" fieldPosition="0">
        <references count="2">
          <reference field="4" count="1" selected="0">
            <x v="62"/>
          </reference>
          <reference field="5" count="1">
            <x v="33"/>
          </reference>
        </references>
      </pivotArea>
    </format>
    <format dxfId="11">
      <pivotArea dataOnly="0" labelOnly="1" outline="0" fieldPosition="0">
        <references count="2">
          <reference field="4" count="1" selected="0">
            <x v="63"/>
          </reference>
          <reference field="5" count="1">
            <x v="8"/>
          </reference>
        </references>
      </pivotArea>
    </format>
    <format dxfId="10">
      <pivotArea dataOnly="0" labelOnly="1" outline="0" fieldPosition="0">
        <references count="2">
          <reference field="4" count="1" selected="0">
            <x v="64"/>
          </reference>
          <reference field="5" count="1">
            <x v="51"/>
          </reference>
        </references>
      </pivotArea>
    </format>
    <format dxfId="9">
      <pivotArea dataOnly="0" labelOnly="1" outline="0" fieldPosition="0">
        <references count="2">
          <reference field="4" count="1" selected="0">
            <x v="65"/>
          </reference>
          <reference field="5" count="1">
            <x v="47"/>
          </reference>
        </references>
      </pivotArea>
    </format>
    <format dxfId="8">
      <pivotArea dataOnly="0" labelOnly="1" outline="0" fieldPosition="0">
        <references count="2">
          <reference field="4" count="1" selected="0">
            <x v="66"/>
          </reference>
          <reference field="5" count="1">
            <x v="15"/>
          </reference>
        </references>
      </pivotArea>
    </format>
    <format dxfId="7">
      <pivotArea dataOnly="0" labelOnly="1" outline="0" fieldPosition="0">
        <references count="2">
          <reference field="4" count="1" selected="0">
            <x v="67"/>
          </reference>
          <reference field="5" count="1">
            <x v="29"/>
          </reference>
        </references>
      </pivotArea>
    </format>
    <format dxfId="6">
      <pivotArea dataOnly="0" labelOnly="1" outline="0" fieldPosition="0">
        <references count="2">
          <reference field="4" count="1" selected="0">
            <x v="68"/>
          </reference>
          <reference field="5" count="1">
            <x v="6"/>
          </reference>
        </references>
      </pivotArea>
    </format>
    <format dxfId="5">
      <pivotArea dataOnly="0" labelOnly="1" outline="0" fieldPosition="0">
        <references count="2">
          <reference field="4" count="1" selected="0">
            <x v="70"/>
          </reference>
          <reference field="5" count="1">
            <x v="46"/>
          </reference>
        </references>
      </pivotArea>
    </format>
    <format dxfId="4">
      <pivotArea dataOnly="0" labelOnly="1" outline="0" fieldPosition="0">
        <references count="2">
          <reference field="4" count="1" selected="0">
            <x v="71"/>
          </reference>
          <reference field="5" count="1">
            <x v="70"/>
          </reference>
        </references>
      </pivotArea>
    </format>
    <format dxfId="3">
      <pivotArea dataOnly="0" labelOnly="1" outline="0" fieldPosition="0">
        <references count="2">
          <reference field="4" count="1" selected="0">
            <x v="72"/>
          </reference>
          <reference field="5" count="1">
            <x v="56"/>
          </reference>
        </references>
      </pivotArea>
    </format>
    <format dxfId="2">
      <pivotArea dataOnly="0" labelOnly="1" outline="0" fieldPosition="0">
        <references count="2">
          <reference field="4" count="1" selected="0">
            <x v="73"/>
          </reference>
          <reference field="5" count="1">
            <x v="2"/>
          </reference>
        </references>
      </pivotArea>
    </format>
    <format dxfId="1">
      <pivotArea dataOnly="0" labelOnly="1" outline="0" fieldPosition="0">
        <references count="2">
          <reference field="4" count="1" selected="0">
            <x v="74"/>
          </reference>
          <reference field="5" count="1">
            <x v="4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A310ED-4DD7-4FA1-84FC-CDEC9C7C75C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37139dc-4e19-4a71-9566-f57827b568f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276D-D44F-414C-9A0D-C9FF9F1B7AF1}">
  <dimension ref="A1:N345"/>
  <sheetViews>
    <sheetView topLeftCell="A327" workbookViewId="0">
      <selection activeCell="J350" sqref="A350:XFD350"/>
    </sheetView>
  </sheetViews>
  <sheetFormatPr baseColWidth="10" defaultColWidth="11.5703125" defaultRowHeight="12" x14ac:dyDescent="0.2"/>
  <cols>
    <col min="1" max="1" width="26.7109375" style="7" bestFit="1" customWidth="1"/>
    <col min="2" max="2" width="79" style="7" hidden="1" customWidth="1"/>
    <col min="3" max="3" width="12.5703125" style="7" bestFit="1" customWidth="1"/>
    <col min="4" max="4" width="10.7109375" style="7" bestFit="1" customWidth="1"/>
    <col min="5" max="5" width="8.28515625" style="7" bestFit="1" customWidth="1"/>
    <col min="6" max="6" width="11.42578125" style="7" bestFit="1" customWidth="1"/>
    <col min="7" max="7" width="9.7109375" style="7" bestFit="1" customWidth="1"/>
    <col min="8" max="8" width="35.85546875" style="7" bestFit="1" customWidth="1"/>
    <col min="9" max="9" width="12.42578125" style="7" bestFit="1" customWidth="1"/>
    <col min="10" max="10" width="9.7109375" style="7" bestFit="1" customWidth="1"/>
    <col min="11" max="11" width="6.7109375" style="7" bestFit="1" customWidth="1"/>
    <col min="12" max="12" width="7.7109375" style="7" bestFit="1" customWidth="1"/>
    <col min="13" max="13" width="12.42578125" style="7" bestFit="1" customWidth="1"/>
    <col min="14" max="14" width="10.7109375" style="7" bestFit="1" customWidth="1"/>
    <col min="15" max="16384" width="11.5703125" style="7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s="4" t="s">
        <v>14</v>
      </c>
      <c r="B2" s="4" t="s">
        <v>295</v>
      </c>
      <c r="C2" s="4">
        <v>1</v>
      </c>
      <c r="D2" s="5">
        <v>45722</v>
      </c>
      <c r="E2" s="4">
        <v>901907732</v>
      </c>
      <c r="F2" s="4" t="s">
        <v>16</v>
      </c>
      <c r="G2" s="4">
        <v>811026805</v>
      </c>
      <c r="H2" s="4" t="s">
        <v>52</v>
      </c>
      <c r="I2" s="6">
        <f t="shared" ref="I2:I65" si="0">+N2-M2-L2-K2-J2</f>
        <v>550000</v>
      </c>
      <c r="J2" s="6">
        <v>104500</v>
      </c>
      <c r="K2" s="6">
        <v>0</v>
      </c>
      <c r="L2" s="6">
        <v>0</v>
      </c>
      <c r="M2" s="6">
        <v>0</v>
      </c>
      <c r="N2" s="6">
        <v>654500</v>
      </c>
    </row>
    <row r="3" spans="1:14" x14ac:dyDescent="0.2">
      <c r="A3" s="4" t="s">
        <v>14</v>
      </c>
      <c r="B3" s="4" t="s">
        <v>422</v>
      </c>
      <c r="C3" s="4">
        <v>2</v>
      </c>
      <c r="D3" s="5">
        <v>45722</v>
      </c>
      <c r="E3" s="4">
        <v>901907732</v>
      </c>
      <c r="F3" s="4" t="s">
        <v>16</v>
      </c>
      <c r="G3" s="4">
        <v>900208742</v>
      </c>
      <c r="H3" s="4" t="s">
        <v>67</v>
      </c>
      <c r="I3" s="6">
        <f t="shared" si="0"/>
        <v>200000</v>
      </c>
      <c r="J3" s="6">
        <v>0</v>
      </c>
      <c r="K3" s="6">
        <v>0</v>
      </c>
      <c r="L3" s="6">
        <v>0</v>
      </c>
      <c r="M3" s="6">
        <v>0</v>
      </c>
      <c r="N3" s="6">
        <v>200000</v>
      </c>
    </row>
    <row r="4" spans="1:14" x14ac:dyDescent="0.2">
      <c r="A4" s="4" t="s">
        <v>14</v>
      </c>
      <c r="B4" s="4" t="s">
        <v>413</v>
      </c>
      <c r="C4" s="4">
        <v>3</v>
      </c>
      <c r="D4" s="5">
        <v>45722</v>
      </c>
      <c r="E4" s="4">
        <v>901907732</v>
      </c>
      <c r="F4" s="4" t="s">
        <v>16</v>
      </c>
      <c r="G4" s="4">
        <v>811044610</v>
      </c>
      <c r="H4" s="4" t="s">
        <v>54</v>
      </c>
      <c r="I4" s="6">
        <f t="shared" si="0"/>
        <v>650000</v>
      </c>
      <c r="J4" s="6">
        <v>123500</v>
      </c>
      <c r="K4" s="6">
        <v>0</v>
      </c>
      <c r="L4" s="6">
        <v>0</v>
      </c>
      <c r="M4" s="6">
        <v>0</v>
      </c>
      <c r="N4" s="6">
        <v>773500</v>
      </c>
    </row>
    <row r="5" spans="1:14" x14ac:dyDescent="0.2">
      <c r="A5" s="4" t="s">
        <v>14</v>
      </c>
      <c r="B5" s="4" t="s">
        <v>404</v>
      </c>
      <c r="C5" s="4">
        <v>4</v>
      </c>
      <c r="D5" s="5">
        <v>45722</v>
      </c>
      <c r="E5" s="4">
        <v>901907732</v>
      </c>
      <c r="F5" s="4" t="s">
        <v>16</v>
      </c>
      <c r="G5" s="4">
        <v>901495799</v>
      </c>
      <c r="H5" s="4" t="s">
        <v>17</v>
      </c>
      <c r="I5" s="6">
        <f t="shared" si="0"/>
        <v>1650000</v>
      </c>
      <c r="J5" s="6">
        <v>313500</v>
      </c>
      <c r="K5" s="6">
        <v>0</v>
      </c>
      <c r="L5" s="6">
        <v>0</v>
      </c>
      <c r="M5" s="6">
        <v>0</v>
      </c>
      <c r="N5" s="6">
        <v>1963500</v>
      </c>
    </row>
    <row r="6" spans="1:14" x14ac:dyDescent="0.2">
      <c r="A6" s="4" t="s">
        <v>14</v>
      </c>
      <c r="B6" s="4" t="s">
        <v>405</v>
      </c>
      <c r="C6" s="4">
        <v>5</v>
      </c>
      <c r="D6" s="5">
        <v>45722</v>
      </c>
      <c r="E6" s="4">
        <v>901907732</v>
      </c>
      <c r="F6" s="4" t="s">
        <v>16</v>
      </c>
      <c r="G6" s="4">
        <v>901495799</v>
      </c>
      <c r="H6" s="4" t="s">
        <v>17</v>
      </c>
      <c r="I6" s="6">
        <f t="shared" si="0"/>
        <v>1584738</v>
      </c>
      <c r="J6" s="6">
        <v>0</v>
      </c>
      <c r="K6" s="6">
        <v>0</v>
      </c>
      <c r="L6" s="6">
        <v>0</v>
      </c>
      <c r="M6" s="6">
        <v>0</v>
      </c>
      <c r="N6" s="6">
        <v>1584738</v>
      </c>
    </row>
    <row r="7" spans="1:14" x14ac:dyDescent="0.2">
      <c r="A7" s="4" t="s">
        <v>14</v>
      </c>
      <c r="B7" s="4" t="s">
        <v>414</v>
      </c>
      <c r="C7" s="4">
        <v>6</v>
      </c>
      <c r="D7" s="5">
        <v>45722</v>
      </c>
      <c r="E7" s="4">
        <v>901907732</v>
      </c>
      <c r="F7" s="4" t="s">
        <v>16</v>
      </c>
      <c r="G7" s="4">
        <v>830087371</v>
      </c>
      <c r="H7" s="4" t="s">
        <v>162</v>
      </c>
      <c r="I7" s="6">
        <f t="shared" si="0"/>
        <v>1072018</v>
      </c>
      <c r="J7" s="6">
        <v>0</v>
      </c>
      <c r="K7" s="6">
        <v>0</v>
      </c>
      <c r="L7" s="6">
        <v>0</v>
      </c>
      <c r="M7" s="6">
        <v>0</v>
      </c>
      <c r="N7" s="6">
        <v>1072018</v>
      </c>
    </row>
    <row r="8" spans="1:14" x14ac:dyDescent="0.2">
      <c r="A8" s="4" t="s">
        <v>14</v>
      </c>
      <c r="B8" s="4" t="s">
        <v>208</v>
      </c>
      <c r="C8" s="4">
        <v>7</v>
      </c>
      <c r="D8" s="5">
        <v>45722</v>
      </c>
      <c r="E8" s="4">
        <v>901907732</v>
      </c>
      <c r="F8" s="4" t="s">
        <v>16</v>
      </c>
      <c r="G8" s="4">
        <v>901774691</v>
      </c>
      <c r="H8" s="4" t="s">
        <v>58</v>
      </c>
      <c r="I8" s="6">
        <f t="shared" si="0"/>
        <v>367811</v>
      </c>
      <c r="J8" s="6">
        <v>0</v>
      </c>
      <c r="K8" s="6">
        <v>0</v>
      </c>
      <c r="L8" s="6">
        <v>0</v>
      </c>
      <c r="M8" s="6">
        <v>0</v>
      </c>
      <c r="N8" s="6">
        <v>367811</v>
      </c>
    </row>
    <row r="9" spans="1:14" x14ac:dyDescent="0.2">
      <c r="A9" s="4" t="s">
        <v>14</v>
      </c>
      <c r="B9" s="4" t="s">
        <v>418</v>
      </c>
      <c r="C9" s="4">
        <v>8</v>
      </c>
      <c r="D9" s="5">
        <v>45722</v>
      </c>
      <c r="E9" s="4">
        <v>901907732</v>
      </c>
      <c r="F9" s="4" t="s">
        <v>16</v>
      </c>
      <c r="G9" s="4">
        <v>900383497</v>
      </c>
      <c r="H9" s="4" t="s">
        <v>60</v>
      </c>
      <c r="I9" s="6">
        <f t="shared" si="0"/>
        <v>430000</v>
      </c>
      <c r="J9" s="6">
        <v>81700</v>
      </c>
      <c r="K9" s="6">
        <v>0</v>
      </c>
      <c r="L9" s="6">
        <v>0</v>
      </c>
      <c r="M9" s="6">
        <v>0</v>
      </c>
      <c r="N9" s="6">
        <v>511700</v>
      </c>
    </row>
    <row r="10" spans="1:14" x14ac:dyDescent="0.2">
      <c r="A10" s="4" t="s">
        <v>14</v>
      </c>
      <c r="B10" s="4" t="s">
        <v>419</v>
      </c>
      <c r="C10" s="4">
        <v>9</v>
      </c>
      <c r="D10" s="5">
        <v>45723</v>
      </c>
      <c r="E10" s="4">
        <v>901907732</v>
      </c>
      <c r="F10" s="4" t="s">
        <v>16</v>
      </c>
      <c r="G10" s="4">
        <v>901884325</v>
      </c>
      <c r="H10" s="4" t="s">
        <v>289</v>
      </c>
      <c r="I10" s="6">
        <f t="shared" si="0"/>
        <v>367811</v>
      </c>
      <c r="J10" s="6">
        <v>0</v>
      </c>
      <c r="K10" s="6">
        <v>0</v>
      </c>
      <c r="L10" s="6">
        <v>0</v>
      </c>
      <c r="M10" s="6">
        <v>0</v>
      </c>
      <c r="N10" s="6">
        <v>367811</v>
      </c>
    </row>
    <row r="11" spans="1:14" x14ac:dyDescent="0.2">
      <c r="A11" s="4" t="s">
        <v>14</v>
      </c>
      <c r="B11" s="4" t="s">
        <v>203</v>
      </c>
      <c r="C11" s="4">
        <v>10</v>
      </c>
      <c r="D11" s="5">
        <v>45910</v>
      </c>
      <c r="E11" s="4">
        <v>901907732</v>
      </c>
      <c r="F11" s="4" t="s">
        <v>16</v>
      </c>
      <c r="G11" s="4">
        <v>117142370</v>
      </c>
      <c r="H11" s="4" t="s">
        <v>199</v>
      </c>
      <c r="I11" s="6">
        <f t="shared" si="0"/>
        <v>100</v>
      </c>
      <c r="J11" s="6">
        <v>0</v>
      </c>
      <c r="K11" s="6">
        <v>0</v>
      </c>
      <c r="L11" s="6">
        <v>0</v>
      </c>
      <c r="M11" s="6">
        <v>0</v>
      </c>
      <c r="N11" s="6">
        <v>100</v>
      </c>
    </row>
    <row r="12" spans="1:14" x14ac:dyDescent="0.2">
      <c r="A12" s="4" t="s">
        <v>14</v>
      </c>
      <c r="B12" s="4" t="s">
        <v>415</v>
      </c>
      <c r="C12" s="4">
        <v>10</v>
      </c>
      <c r="D12" s="5">
        <v>45723</v>
      </c>
      <c r="E12" s="4">
        <v>901907732</v>
      </c>
      <c r="F12" s="4" t="s">
        <v>16</v>
      </c>
      <c r="G12" s="4">
        <v>900383497</v>
      </c>
      <c r="H12" s="4" t="s">
        <v>60</v>
      </c>
      <c r="I12" s="6">
        <f t="shared" si="0"/>
        <v>430000</v>
      </c>
      <c r="J12" s="6">
        <v>0</v>
      </c>
      <c r="K12" s="6">
        <v>0</v>
      </c>
      <c r="L12" s="6">
        <v>0</v>
      </c>
      <c r="M12" s="6">
        <v>0</v>
      </c>
      <c r="N12" s="6">
        <v>430000</v>
      </c>
    </row>
    <row r="13" spans="1:14" x14ac:dyDescent="0.2">
      <c r="A13" s="4" t="s">
        <v>14</v>
      </c>
      <c r="B13" s="4" t="s">
        <v>202</v>
      </c>
      <c r="C13" s="4">
        <v>12</v>
      </c>
      <c r="D13" s="5">
        <v>45910</v>
      </c>
      <c r="E13" s="4">
        <v>901907732</v>
      </c>
      <c r="F13" s="4" t="s">
        <v>16</v>
      </c>
      <c r="G13" s="4">
        <v>117142370</v>
      </c>
      <c r="H13" s="4" t="s">
        <v>199</v>
      </c>
      <c r="I13" s="6">
        <f t="shared" si="0"/>
        <v>100</v>
      </c>
      <c r="J13" s="6">
        <v>0</v>
      </c>
      <c r="K13" s="6">
        <v>0</v>
      </c>
      <c r="L13" s="6">
        <v>0</v>
      </c>
      <c r="M13" s="6">
        <v>0</v>
      </c>
      <c r="N13" s="6">
        <v>100</v>
      </c>
    </row>
    <row r="14" spans="1:14" x14ac:dyDescent="0.2">
      <c r="A14" s="4" t="s">
        <v>14</v>
      </c>
      <c r="B14" s="4" t="s">
        <v>412</v>
      </c>
      <c r="C14" s="4">
        <v>12</v>
      </c>
      <c r="D14" s="5">
        <v>45728</v>
      </c>
      <c r="E14" s="4">
        <v>901907732</v>
      </c>
      <c r="F14" s="4" t="s">
        <v>16</v>
      </c>
      <c r="G14" s="4">
        <v>900643097</v>
      </c>
      <c r="H14" s="4" t="s">
        <v>36</v>
      </c>
      <c r="I14" s="6">
        <f t="shared" si="0"/>
        <v>1822236.9999999998</v>
      </c>
      <c r="J14" s="6">
        <v>285637.07</v>
      </c>
      <c r="K14" s="6">
        <v>0</v>
      </c>
      <c r="L14" s="6">
        <v>0</v>
      </c>
      <c r="M14" s="6">
        <v>0</v>
      </c>
      <c r="N14" s="6">
        <v>2107874.0699999998</v>
      </c>
    </row>
    <row r="15" spans="1:14" x14ac:dyDescent="0.2">
      <c r="A15" s="4" t="s">
        <v>14</v>
      </c>
      <c r="B15" s="4" t="s">
        <v>201</v>
      </c>
      <c r="C15" s="4">
        <v>13</v>
      </c>
      <c r="D15" s="5">
        <v>45910</v>
      </c>
      <c r="E15" s="4">
        <v>901907732</v>
      </c>
      <c r="F15" s="4" t="s">
        <v>16</v>
      </c>
      <c r="G15" s="4">
        <v>117142370</v>
      </c>
      <c r="H15" s="4" t="s">
        <v>199</v>
      </c>
      <c r="I15" s="6">
        <f t="shared" si="0"/>
        <v>100</v>
      </c>
      <c r="J15" s="6">
        <v>0</v>
      </c>
      <c r="K15" s="6">
        <v>0</v>
      </c>
      <c r="L15" s="6">
        <v>0</v>
      </c>
      <c r="M15" s="6">
        <v>0</v>
      </c>
      <c r="N15" s="6">
        <v>100</v>
      </c>
    </row>
    <row r="16" spans="1:14" x14ac:dyDescent="0.2">
      <c r="A16" s="4" t="s">
        <v>14</v>
      </c>
      <c r="B16" s="4" t="s">
        <v>407</v>
      </c>
      <c r="C16" s="4">
        <v>13</v>
      </c>
      <c r="D16" s="5">
        <v>45728</v>
      </c>
      <c r="E16" s="4">
        <v>901907732</v>
      </c>
      <c r="F16" s="4" t="s">
        <v>16</v>
      </c>
      <c r="G16" s="4">
        <v>811017918</v>
      </c>
      <c r="H16" s="4" t="s">
        <v>19</v>
      </c>
      <c r="I16" s="6">
        <f t="shared" si="0"/>
        <v>900000</v>
      </c>
      <c r="J16" s="6">
        <v>171000</v>
      </c>
      <c r="K16" s="6">
        <v>0</v>
      </c>
      <c r="L16" s="6">
        <v>0</v>
      </c>
      <c r="M16" s="6">
        <v>0</v>
      </c>
      <c r="N16" s="6">
        <v>1071000</v>
      </c>
    </row>
    <row r="17" spans="1:14" x14ac:dyDescent="0.2">
      <c r="A17" s="4" t="s">
        <v>14</v>
      </c>
      <c r="B17" s="4" t="s">
        <v>200</v>
      </c>
      <c r="C17" s="4">
        <v>14</v>
      </c>
      <c r="D17" s="5">
        <v>45910</v>
      </c>
      <c r="E17" s="4">
        <v>901907732</v>
      </c>
      <c r="F17" s="4" t="s">
        <v>16</v>
      </c>
      <c r="G17" s="4">
        <v>117142370</v>
      </c>
      <c r="H17" s="4" t="s">
        <v>199</v>
      </c>
      <c r="I17" s="6">
        <f t="shared" si="0"/>
        <v>100</v>
      </c>
      <c r="J17" s="6">
        <v>0</v>
      </c>
      <c r="K17" s="6">
        <v>0</v>
      </c>
      <c r="L17" s="6">
        <v>0</v>
      </c>
      <c r="M17" s="6">
        <v>0</v>
      </c>
      <c r="N17" s="6">
        <v>100</v>
      </c>
    </row>
    <row r="18" spans="1:14" x14ac:dyDescent="0.2">
      <c r="A18" s="4" t="s">
        <v>14</v>
      </c>
      <c r="B18" s="4" t="s">
        <v>411</v>
      </c>
      <c r="C18" s="4">
        <v>14</v>
      </c>
      <c r="D18" s="5">
        <v>45728</v>
      </c>
      <c r="E18" s="4">
        <v>901907732</v>
      </c>
      <c r="F18" s="4" t="s">
        <v>16</v>
      </c>
      <c r="G18" s="4">
        <v>901193232</v>
      </c>
      <c r="H18" s="4" t="s">
        <v>62</v>
      </c>
      <c r="I18" s="6">
        <f t="shared" si="0"/>
        <v>189584</v>
      </c>
      <c r="J18" s="6">
        <v>0</v>
      </c>
      <c r="K18" s="6">
        <v>0</v>
      </c>
      <c r="L18" s="6">
        <v>0</v>
      </c>
      <c r="M18" s="6">
        <v>0</v>
      </c>
      <c r="N18" s="6">
        <v>189584</v>
      </c>
    </row>
    <row r="19" spans="1:14" x14ac:dyDescent="0.2">
      <c r="A19" s="4" t="s">
        <v>14</v>
      </c>
      <c r="B19" s="4" t="s">
        <v>406</v>
      </c>
      <c r="C19" s="4">
        <v>15</v>
      </c>
      <c r="D19" s="5">
        <v>45729</v>
      </c>
      <c r="E19" s="4">
        <v>901907732</v>
      </c>
      <c r="F19" s="4" t="s">
        <v>16</v>
      </c>
      <c r="G19" s="4">
        <v>811017918</v>
      </c>
      <c r="H19" s="4" t="s">
        <v>19</v>
      </c>
      <c r="I19" s="6">
        <f t="shared" si="0"/>
        <v>161000</v>
      </c>
      <c r="J19" s="6">
        <v>30590</v>
      </c>
      <c r="K19" s="6">
        <v>0</v>
      </c>
      <c r="L19" s="6">
        <v>0</v>
      </c>
      <c r="M19" s="6">
        <v>0</v>
      </c>
      <c r="N19" s="6">
        <v>191590</v>
      </c>
    </row>
    <row r="20" spans="1:14" x14ac:dyDescent="0.2">
      <c r="A20" s="4" t="s">
        <v>14</v>
      </c>
      <c r="B20" s="4" t="s">
        <v>403</v>
      </c>
      <c r="C20" s="4">
        <v>16</v>
      </c>
      <c r="D20" s="5">
        <v>45751</v>
      </c>
      <c r="E20" s="4">
        <v>901907732</v>
      </c>
      <c r="F20" s="4" t="s">
        <v>16</v>
      </c>
      <c r="G20" s="4">
        <v>901225179</v>
      </c>
      <c r="H20" s="4" t="s">
        <v>126</v>
      </c>
      <c r="I20" s="6">
        <f t="shared" si="0"/>
        <v>1737708</v>
      </c>
      <c r="J20" s="6">
        <v>0</v>
      </c>
      <c r="K20" s="6">
        <v>0</v>
      </c>
      <c r="L20" s="6">
        <v>0</v>
      </c>
      <c r="M20" s="6">
        <v>0</v>
      </c>
      <c r="N20" s="6">
        <v>1737708</v>
      </c>
    </row>
    <row r="21" spans="1:14" x14ac:dyDescent="0.2">
      <c r="A21" s="4" t="s">
        <v>14</v>
      </c>
      <c r="B21" s="4" t="s">
        <v>402</v>
      </c>
      <c r="C21" s="4">
        <v>17</v>
      </c>
      <c r="D21" s="5">
        <v>45751</v>
      </c>
      <c r="E21" s="4">
        <v>901907732</v>
      </c>
      <c r="F21" s="4" t="s">
        <v>16</v>
      </c>
      <c r="G21" s="4">
        <v>900383497</v>
      </c>
      <c r="H21" s="4" t="s">
        <v>60</v>
      </c>
      <c r="I21" s="6">
        <f t="shared" si="0"/>
        <v>432627</v>
      </c>
      <c r="J21" s="6">
        <v>0</v>
      </c>
      <c r="K21" s="6">
        <v>0</v>
      </c>
      <c r="L21" s="6">
        <v>0</v>
      </c>
      <c r="M21" s="6">
        <v>0</v>
      </c>
      <c r="N21" s="6">
        <v>432627</v>
      </c>
    </row>
    <row r="22" spans="1:14" x14ac:dyDescent="0.2">
      <c r="A22" s="4" t="s">
        <v>14</v>
      </c>
      <c r="B22" s="4" t="s">
        <v>401</v>
      </c>
      <c r="C22" s="4">
        <v>18</v>
      </c>
      <c r="D22" s="5">
        <v>45751</v>
      </c>
      <c r="E22" s="4">
        <v>901907732</v>
      </c>
      <c r="F22" s="4" t="s">
        <v>16</v>
      </c>
      <c r="G22" s="4">
        <v>901884325</v>
      </c>
      <c r="H22" s="4" t="s">
        <v>289</v>
      </c>
      <c r="I22" s="6">
        <f t="shared" si="0"/>
        <v>367859</v>
      </c>
      <c r="J22" s="6">
        <v>0</v>
      </c>
      <c r="K22" s="6">
        <v>0</v>
      </c>
      <c r="L22" s="6">
        <v>0</v>
      </c>
      <c r="M22" s="6">
        <v>0</v>
      </c>
      <c r="N22" s="6">
        <v>367859</v>
      </c>
    </row>
    <row r="23" spans="1:14" x14ac:dyDescent="0.2">
      <c r="A23" s="4" t="s">
        <v>14</v>
      </c>
      <c r="B23" s="4" t="s">
        <v>390</v>
      </c>
      <c r="C23" s="4">
        <v>19</v>
      </c>
      <c r="D23" s="5">
        <v>45751</v>
      </c>
      <c r="E23" s="4">
        <v>901907732</v>
      </c>
      <c r="F23" s="4" t="s">
        <v>16</v>
      </c>
      <c r="G23" s="4">
        <v>830087371</v>
      </c>
      <c r="H23" s="4" t="s">
        <v>162</v>
      </c>
      <c r="I23" s="6">
        <f t="shared" si="0"/>
        <v>1128840</v>
      </c>
      <c r="J23" s="6">
        <v>0</v>
      </c>
      <c r="K23" s="6">
        <v>0</v>
      </c>
      <c r="L23" s="6">
        <v>0</v>
      </c>
      <c r="M23" s="6">
        <v>0</v>
      </c>
      <c r="N23" s="6">
        <v>1128840</v>
      </c>
    </row>
    <row r="24" spans="1:14" x14ac:dyDescent="0.2">
      <c r="A24" s="4" t="s">
        <v>14</v>
      </c>
      <c r="B24" s="4" t="s">
        <v>275</v>
      </c>
      <c r="C24" s="4">
        <v>20</v>
      </c>
      <c r="D24" s="5">
        <v>45751</v>
      </c>
      <c r="E24" s="4">
        <v>901907732</v>
      </c>
      <c r="F24" s="4" t="s">
        <v>16</v>
      </c>
      <c r="G24" s="4">
        <v>901495799</v>
      </c>
      <c r="H24" s="4" t="s">
        <v>17</v>
      </c>
      <c r="I24" s="6">
        <f t="shared" si="0"/>
        <v>2019765</v>
      </c>
      <c r="J24" s="6">
        <v>0</v>
      </c>
      <c r="K24" s="6">
        <v>0</v>
      </c>
      <c r="L24" s="6">
        <v>0</v>
      </c>
      <c r="M24" s="6">
        <v>0</v>
      </c>
      <c r="N24" s="6">
        <v>2019765</v>
      </c>
    </row>
    <row r="25" spans="1:14" x14ac:dyDescent="0.2">
      <c r="A25" s="4" t="s">
        <v>14</v>
      </c>
      <c r="B25" s="4" t="s">
        <v>198</v>
      </c>
      <c r="C25" s="4">
        <v>21</v>
      </c>
      <c r="D25" s="5">
        <v>45910</v>
      </c>
      <c r="E25" s="4">
        <v>901907732</v>
      </c>
      <c r="F25" s="4" t="s">
        <v>16</v>
      </c>
      <c r="G25" s="4">
        <v>117142370</v>
      </c>
      <c r="H25" s="4" t="s">
        <v>199</v>
      </c>
      <c r="I25" s="6">
        <f t="shared" si="0"/>
        <v>100</v>
      </c>
      <c r="J25" s="6">
        <v>0</v>
      </c>
      <c r="K25" s="6">
        <v>0</v>
      </c>
      <c r="L25" s="6">
        <v>0</v>
      </c>
      <c r="M25" s="6">
        <v>0</v>
      </c>
      <c r="N25" s="6">
        <v>100</v>
      </c>
    </row>
    <row r="26" spans="1:14" x14ac:dyDescent="0.2">
      <c r="A26" s="4" t="s">
        <v>14</v>
      </c>
      <c r="B26" s="4" t="s">
        <v>273</v>
      </c>
      <c r="C26" s="4">
        <v>21</v>
      </c>
      <c r="D26" s="5">
        <v>45751</v>
      </c>
      <c r="E26" s="4">
        <v>901907732</v>
      </c>
      <c r="F26" s="4" t="s">
        <v>16</v>
      </c>
      <c r="G26" s="4">
        <v>901495799</v>
      </c>
      <c r="H26" s="4" t="s">
        <v>17</v>
      </c>
      <c r="I26" s="6">
        <f t="shared" si="0"/>
        <v>1650000</v>
      </c>
      <c r="J26" s="6">
        <v>313500</v>
      </c>
      <c r="K26" s="6">
        <v>0</v>
      </c>
      <c r="L26" s="6">
        <v>0</v>
      </c>
      <c r="M26" s="6">
        <v>0</v>
      </c>
      <c r="N26" s="6">
        <v>1963500</v>
      </c>
    </row>
    <row r="27" spans="1:14" x14ac:dyDescent="0.2">
      <c r="A27" s="4" t="s">
        <v>14</v>
      </c>
      <c r="B27" s="4" t="s">
        <v>197</v>
      </c>
      <c r="C27" s="4">
        <v>22</v>
      </c>
      <c r="D27" s="5">
        <v>45910</v>
      </c>
      <c r="E27" s="4">
        <v>901907732</v>
      </c>
      <c r="F27" s="4" t="s">
        <v>16</v>
      </c>
      <c r="G27" s="4">
        <v>900983772</v>
      </c>
      <c r="H27" s="4" t="s">
        <v>110</v>
      </c>
      <c r="I27" s="6">
        <f t="shared" si="0"/>
        <v>1620000</v>
      </c>
      <c r="J27" s="6">
        <v>307800</v>
      </c>
      <c r="K27" s="6">
        <v>0</v>
      </c>
      <c r="L27" s="6">
        <v>0</v>
      </c>
      <c r="M27" s="6">
        <v>0</v>
      </c>
      <c r="N27" s="6">
        <v>1927800</v>
      </c>
    </row>
    <row r="28" spans="1:14" x14ac:dyDescent="0.2">
      <c r="A28" s="4" t="s">
        <v>14</v>
      </c>
      <c r="B28" s="4" t="s">
        <v>387</v>
      </c>
      <c r="C28" s="4">
        <v>22</v>
      </c>
      <c r="D28" s="5">
        <v>45751</v>
      </c>
      <c r="E28" s="4">
        <v>901907732</v>
      </c>
      <c r="F28" s="4" t="s">
        <v>16</v>
      </c>
      <c r="G28" s="4">
        <v>811044610</v>
      </c>
      <c r="H28" s="4" t="s">
        <v>54</v>
      </c>
      <c r="I28" s="6">
        <f t="shared" si="0"/>
        <v>1510000</v>
      </c>
      <c r="J28" s="6">
        <v>123500</v>
      </c>
      <c r="K28" s="6">
        <v>0</v>
      </c>
      <c r="L28" s="6">
        <v>0</v>
      </c>
      <c r="M28" s="6">
        <v>0</v>
      </c>
      <c r="N28" s="6">
        <v>1633500</v>
      </c>
    </row>
    <row r="29" spans="1:14" x14ac:dyDescent="0.2">
      <c r="A29" s="4" t="s">
        <v>14</v>
      </c>
      <c r="B29" s="4" t="s">
        <v>400</v>
      </c>
      <c r="C29" s="4">
        <v>23</v>
      </c>
      <c r="D29" s="5">
        <v>45751</v>
      </c>
      <c r="E29" s="4">
        <v>901907732</v>
      </c>
      <c r="F29" s="4" t="s">
        <v>16</v>
      </c>
      <c r="G29" s="4">
        <v>900208742</v>
      </c>
      <c r="H29" s="4" t="s">
        <v>67</v>
      </c>
      <c r="I29" s="6">
        <f t="shared" si="0"/>
        <v>200000</v>
      </c>
      <c r="J29" s="6">
        <v>0</v>
      </c>
      <c r="K29" s="6">
        <v>0</v>
      </c>
      <c r="L29" s="6">
        <v>0</v>
      </c>
      <c r="M29" s="6">
        <v>0</v>
      </c>
      <c r="N29" s="6">
        <v>200000</v>
      </c>
    </row>
    <row r="30" spans="1:14" x14ac:dyDescent="0.2">
      <c r="A30" s="4" t="s">
        <v>14</v>
      </c>
      <c r="B30" s="4" t="s">
        <v>294</v>
      </c>
      <c r="C30" s="4">
        <v>24</v>
      </c>
      <c r="D30" s="5">
        <v>45751</v>
      </c>
      <c r="E30" s="4">
        <v>901907732</v>
      </c>
      <c r="F30" s="4" t="s">
        <v>16</v>
      </c>
      <c r="G30" s="4">
        <v>811026805</v>
      </c>
      <c r="H30" s="4" t="s">
        <v>52</v>
      </c>
      <c r="I30" s="6">
        <f t="shared" si="0"/>
        <v>550000</v>
      </c>
      <c r="J30" s="6">
        <v>104500</v>
      </c>
      <c r="K30" s="6">
        <v>0</v>
      </c>
      <c r="L30" s="6">
        <v>0</v>
      </c>
      <c r="M30" s="6">
        <v>0</v>
      </c>
      <c r="N30" s="6">
        <v>654500</v>
      </c>
    </row>
    <row r="31" spans="1:14" x14ac:dyDescent="0.2">
      <c r="A31" s="4" t="s">
        <v>14</v>
      </c>
      <c r="B31" s="4" t="s">
        <v>399</v>
      </c>
      <c r="C31" s="4">
        <v>25</v>
      </c>
      <c r="D31" s="5">
        <v>45751</v>
      </c>
      <c r="E31" s="4">
        <v>901907732</v>
      </c>
      <c r="F31" s="4" t="s">
        <v>16</v>
      </c>
      <c r="G31" s="4">
        <v>900688446</v>
      </c>
      <c r="H31" s="4" t="s">
        <v>47</v>
      </c>
      <c r="I31" s="6">
        <f t="shared" si="0"/>
        <v>2085282</v>
      </c>
      <c r="J31" s="6">
        <v>171000</v>
      </c>
      <c r="K31" s="6">
        <v>0</v>
      </c>
      <c r="L31" s="6">
        <v>0</v>
      </c>
      <c r="M31" s="6">
        <v>0</v>
      </c>
      <c r="N31" s="6">
        <v>2256282</v>
      </c>
    </row>
    <row r="32" spans="1:14" x14ac:dyDescent="0.2">
      <c r="A32" s="4" t="s">
        <v>14</v>
      </c>
      <c r="B32" s="4" t="s">
        <v>398</v>
      </c>
      <c r="C32" s="4">
        <v>26</v>
      </c>
      <c r="D32" s="5">
        <v>45751</v>
      </c>
      <c r="E32" s="4">
        <v>901907732</v>
      </c>
      <c r="F32" s="4" t="s">
        <v>16</v>
      </c>
      <c r="G32" s="4">
        <v>811017918</v>
      </c>
      <c r="H32" s="4" t="s">
        <v>19</v>
      </c>
      <c r="I32" s="6">
        <f t="shared" si="0"/>
        <v>900000</v>
      </c>
      <c r="J32" s="6">
        <v>171000</v>
      </c>
      <c r="K32" s="6">
        <v>0</v>
      </c>
      <c r="L32" s="6">
        <v>0</v>
      </c>
      <c r="M32" s="6">
        <v>0</v>
      </c>
      <c r="N32" s="6">
        <v>1071000</v>
      </c>
    </row>
    <row r="33" spans="1:14" x14ac:dyDescent="0.2">
      <c r="A33" s="4" t="s">
        <v>14</v>
      </c>
      <c r="B33" s="4" t="s">
        <v>397</v>
      </c>
      <c r="C33" s="4">
        <v>27</v>
      </c>
      <c r="D33" s="5">
        <v>45751</v>
      </c>
      <c r="E33" s="4">
        <v>901907732</v>
      </c>
      <c r="F33" s="4" t="s">
        <v>16</v>
      </c>
      <c r="G33" s="4">
        <v>860022343</v>
      </c>
      <c r="H33" s="4" t="s">
        <v>21</v>
      </c>
      <c r="I33" s="6">
        <f t="shared" si="0"/>
        <v>1950000</v>
      </c>
      <c r="J33" s="6">
        <v>370500</v>
      </c>
      <c r="K33" s="6">
        <v>0</v>
      </c>
      <c r="L33" s="6">
        <v>0</v>
      </c>
      <c r="M33" s="6">
        <v>0</v>
      </c>
      <c r="N33" s="6">
        <v>2320500</v>
      </c>
    </row>
    <row r="34" spans="1:14" x14ac:dyDescent="0.2">
      <c r="A34" s="4" t="s">
        <v>14</v>
      </c>
      <c r="B34" s="4" t="s">
        <v>396</v>
      </c>
      <c r="C34" s="4">
        <v>28</v>
      </c>
      <c r="D34" s="5">
        <v>45751</v>
      </c>
      <c r="E34" s="4">
        <v>901907732</v>
      </c>
      <c r="F34" s="4" t="s">
        <v>16</v>
      </c>
      <c r="G34" s="4">
        <v>811000784</v>
      </c>
      <c r="H34" s="4" t="s">
        <v>33</v>
      </c>
      <c r="I34" s="6">
        <f t="shared" si="0"/>
        <v>1729962</v>
      </c>
      <c r="J34" s="6">
        <v>0</v>
      </c>
      <c r="K34" s="6">
        <v>0</v>
      </c>
      <c r="L34" s="6">
        <v>0</v>
      </c>
      <c r="M34" s="6">
        <v>0</v>
      </c>
      <c r="N34" s="6">
        <v>1729962</v>
      </c>
    </row>
    <row r="35" spans="1:14" x14ac:dyDescent="0.2">
      <c r="A35" s="4" t="s">
        <v>14</v>
      </c>
      <c r="B35" s="4" t="s">
        <v>395</v>
      </c>
      <c r="C35" s="4">
        <v>29</v>
      </c>
      <c r="D35" s="5">
        <v>45751</v>
      </c>
      <c r="E35" s="4">
        <v>901907732</v>
      </c>
      <c r="F35" s="4" t="s">
        <v>16</v>
      </c>
      <c r="G35" s="4">
        <v>811000784</v>
      </c>
      <c r="H35" s="4" t="s">
        <v>33</v>
      </c>
      <c r="I35" s="6">
        <f t="shared" si="0"/>
        <v>2105000</v>
      </c>
      <c r="J35" s="6">
        <v>399950</v>
      </c>
      <c r="K35" s="6">
        <v>0</v>
      </c>
      <c r="L35" s="6">
        <v>0</v>
      </c>
      <c r="M35" s="6">
        <v>0</v>
      </c>
      <c r="N35" s="6">
        <v>2504950</v>
      </c>
    </row>
    <row r="36" spans="1:14" x14ac:dyDescent="0.2">
      <c r="A36" s="4" t="s">
        <v>14</v>
      </c>
      <c r="B36" s="4" t="s">
        <v>394</v>
      </c>
      <c r="C36" s="4">
        <v>30</v>
      </c>
      <c r="D36" s="5">
        <v>45751</v>
      </c>
      <c r="E36" s="4">
        <v>901907732</v>
      </c>
      <c r="F36" s="4" t="s">
        <v>16</v>
      </c>
      <c r="G36" s="4">
        <v>811000784</v>
      </c>
      <c r="H36" s="4" t="s">
        <v>33</v>
      </c>
      <c r="I36" s="6">
        <f t="shared" si="0"/>
        <v>3406250</v>
      </c>
      <c r="J36" s="6">
        <v>0</v>
      </c>
      <c r="K36" s="6">
        <v>0</v>
      </c>
      <c r="L36" s="6">
        <v>0</v>
      </c>
      <c r="M36" s="6">
        <v>0</v>
      </c>
      <c r="N36" s="6">
        <v>3406250</v>
      </c>
    </row>
    <row r="37" spans="1:14" x14ac:dyDescent="0.2">
      <c r="A37" s="4" t="s">
        <v>14</v>
      </c>
      <c r="B37" s="4" t="s">
        <v>393</v>
      </c>
      <c r="C37" s="4">
        <v>31</v>
      </c>
      <c r="D37" s="5">
        <v>45754</v>
      </c>
      <c r="E37" s="4">
        <v>901907732</v>
      </c>
      <c r="F37" s="4" t="s">
        <v>16</v>
      </c>
      <c r="G37" s="4">
        <v>901105552</v>
      </c>
      <c r="H37" s="4" t="s">
        <v>69</v>
      </c>
      <c r="I37" s="6">
        <f t="shared" si="0"/>
        <v>5899000</v>
      </c>
      <c r="J37" s="6">
        <v>0</v>
      </c>
      <c r="K37" s="6">
        <v>0</v>
      </c>
      <c r="L37" s="6">
        <v>0</v>
      </c>
      <c r="M37" s="6">
        <v>0</v>
      </c>
      <c r="N37" s="6">
        <v>5899000</v>
      </c>
    </row>
    <row r="38" spans="1:14" x14ac:dyDescent="0.2">
      <c r="A38" s="4" t="s">
        <v>14</v>
      </c>
      <c r="B38" s="4" t="s">
        <v>392</v>
      </c>
      <c r="C38" s="4">
        <v>32</v>
      </c>
      <c r="D38" s="5">
        <v>45754</v>
      </c>
      <c r="E38" s="4">
        <v>901907732</v>
      </c>
      <c r="F38" s="4" t="s">
        <v>16</v>
      </c>
      <c r="G38" s="4">
        <v>901105552</v>
      </c>
      <c r="H38" s="4" t="s">
        <v>69</v>
      </c>
      <c r="I38" s="6">
        <f t="shared" si="0"/>
        <v>3739310</v>
      </c>
      <c r="J38" s="6">
        <v>0</v>
      </c>
      <c r="K38" s="6">
        <v>0</v>
      </c>
      <c r="L38" s="6">
        <v>0</v>
      </c>
      <c r="M38" s="6">
        <v>0</v>
      </c>
      <c r="N38" s="6">
        <v>3739310</v>
      </c>
    </row>
    <row r="39" spans="1:14" x14ac:dyDescent="0.2">
      <c r="A39" s="4" t="s">
        <v>14</v>
      </c>
      <c r="B39" s="4" t="s">
        <v>391</v>
      </c>
      <c r="C39" s="4">
        <v>33</v>
      </c>
      <c r="D39" s="5">
        <v>45754</v>
      </c>
      <c r="E39" s="4">
        <v>901907732</v>
      </c>
      <c r="F39" s="4" t="s">
        <v>16</v>
      </c>
      <c r="G39" s="4">
        <v>900688446</v>
      </c>
      <c r="H39" s="4" t="s">
        <v>47</v>
      </c>
      <c r="I39" s="6">
        <f t="shared" si="0"/>
        <v>1520853.74</v>
      </c>
      <c r="J39" s="6">
        <v>288962.21000000002</v>
      </c>
      <c r="K39" s="6">
        <v>0</v>
      </c>
      <c r="L39" s="6">
        <v>0</v>
      </c>
      <c r="M39" s="6">
        <v>0</v>
      </c>
      <c r="N39" s="6">
        <v>1809815.95</v>
      </c>
    </row>
    <row r="40" spans="1:14" x14ac:dyDescent="0.2">
      <c r="A40" s="4" t="s">
        <v>14</v>
      </c>
      <c r="B40" s="4" t="s">
        <v>388</v>
      </c>
      <c r="C40" s="4">
        <v>34</v>
      </c>
      <c r="D40" s="5">
        <v>45758</v>
      </c>
      <c r="E40" s="4">
        <v>901907732</v>
      </c>
      <c r="F40" s="4" t="s">
        <v>16</v>
      </c>
      <c r="G40" s="4">
        <v>98532400</v>
      </c>
      <c r="H40" s="4" t="s">
        <v>389</v>
      </c>
      <c r="I40" s="6">
        <f t="shared" si="0"/>
        <v>2483000</v>
      </c>
      <c r="J40" s="6">
        <v>471770</v>
      </c>
      <c r="K40" s="6">
        <v>0</v>
      </c>
      <c r="L40" s="6">
        <v>0</v>
      </c>
      <c r="M40" s="6">
        <v>0</v>
      </c>
      <c r="N40" s="6">
        <v>2954770</v>
      </c>
    </row>
    <row r="41" spans="1:14" x14ac:dyDescent="0.2">
      <c r="A41" s="4" t="s">
        <v>14</v>
      </c>
      <c r="B41" s="4" t="s">
        <v>386</v>
      </c>
      <c r="C41" s="4">
        <v>35</v>
      </c>
      <c r="D41" s="5">
        <v>45762</v>
      </c>
      <c r="E41" s="4">
        <v>901907732</v>
      </c>
      <c r="F41" s="4" t="s">
        <v>16</v>
      </c>
      <c r="G41" s="4">
        <v>900779955</v>
      </c>
      <c r="H41" s="4" t="s">
        <v>145</v>
      </c>
      <c r="I41" s="6">
        <f t="shared" si="0"/>
        <v>2365000</v>
      </c>
      <c r="J41" s="6">
        <v>0</v>
      </c>
      <c r="K41" s="6">
        <v>0</v>
      </c>
      <c r="L41" s="6">
        <v>0</v>
      </c>
      <c r="M41" s="6">
        <v>0</v>
      </c>
      <c r="N41" s="6">
        <v>2365000</v>
      </c>
    </row>
    <row r="42" spans="1:14" x14ac:dyDescent="0.2">
      <c r="A42" s="4" t="s">
        <v>14</v>
      </c>
      <c r="B42" s="4" t="s">
        <v>272</v>
      </c>
      <c r="C42" s="4">
        <v>36</v>
      </c>
      <c r="D42" s="5">
        <v>45769</v>
      </c>
      <c r="E42" s="4">
        <v>901907732</v>
      </c>
      <c r="F42" s="4" t="s">
        <v>16</v>
      </c>
      <c r="G42" s="4">
        <v>901495799</v>
      </c>
      <c r="H42" s="4" t="s">
        <v>17</v>
      </c>
      <c r="I42" s="6">
        <f t="shared" si="0"/>
        <v>5360000</v>
      </c>
      <c r="J42" s="6">
        <v>1018400</v>
      </c>
      <c r="K42" s="6">
        <v>0</v>
      </c>
      <c r="L42" s="6">
        <v>0</v>
      </c>
      <c r="M42" s="6">
        <v>0</v>
      </c>
      <c r="N42" s="6">
        <v>6378400</v>
      </c>
    </row>
    <row r="43" spans="1:14" x14ac:dyDescent="0.2">
      <c r="A43" s="4" t="s">
        <v>14</v>
      </c>
      <c r="B43" s="4" t="s">
        <v>385</v>
      </c>
      <c r="C43" s="4">
        <v>37</v>
      </c>
      <c r="D43" s="5">
        <v>45770</v>
      </c>
      <c r="E43" s="4">
        <v>901907732</v>
      </c>
      <c r="F43" s="4" t="s">
        <v>16</v>
      </c>
      <c r="G43" s="4">
        <v>811000784</v>
      </c>
      <c r="H43" s="4" t="s">
        <v>33</v>
      </c>
      <c r="I43" s="6">
        <f t="shared" si="0"/>
        <v>280000</v>
      </c>
      <c r="J43" s="6">
        <v>0</v>
      </c>
      <c r="K43" s="6">
        <v>0</v>
      </c>
      <c r="L43" s="6">
        <v>0</v>
      </c>
      <c r="M43" s="6">
        <v>0</v>
      </c>
      <c r="N43" s="6">
        <v>280000</v>
      </c>
    </row>
    <row r="44" spans="1:14" x14ac:dyDescent="0.2">
      <c r="A44" s="4" t="s">
        <v>14</v>
      </c>
      <c r="B44" s="4" t="s">
        <v>384</v>
      </c>
      <c r="C44" s="4">
        <v>38</v>
      </c>
      <c r="D44" s="5">
        <v>45771</v>
      </c>
      <c r="E44" s="4">
        <v>901907732</v>
      </c>
      <c r="F44" s="4" t="s">
        <v>16</v>
      </c>
      <c r="G44" s="4">
        <v>901428649</v>
      </c>
      <c r="H44" s="4" t="s">
        <v>72</v>
      </c>
      <c r="I44" s="6">
        <f t="shared" si="0"/>
        <v>1919028</v>
      </c>
      <c r="J44" s="6">
        <v>0</v>
      </c>
      <c r="K44" s="6">
        <v>0</v>
      </c>
      <c r="L44" s="6">
        <v>0</v>
      </c>
      <c r="M44" s="6">
        <v>0</v>
      </c>
      <c r="N44" s="6">
        <v>1919028</v>
      </c>
    </row>
    <row r="45" spans="1:14" x14ac:dyDescent="0.2">
      <c r="A45" s="4" t="s">
        <v>14</v>
      </c>
      <c r="B45" s="4" t="s">
        <v>358</v>
      </c>
      <c r="C45" s="4">
        <v>39</v>
      </c>
      <c r="D45" s="5">
        <v>45771</v>
      </c>
      <c r="E45" s="4">
        <v>901907732</v>
      </c>
      <c r="F45" s="4" t="s">
        <v>16</v>
      </c>
      <c r="G45" s="4">
        <v>901446911</v>
      </c>
      <c r="H45" s="4" t="s">
        <v>76</v>
      </c>
      <c r="I45" s="6">
        <f t="shared" si="0"/>
        <v>156000</v>
      </c>
      <c r="J45" s="6">
        <v>0</v>
      </c>
      <c r="K45" s="6">
        <v>0</v>
      </c>
      <c r="L45" s="6">
        <v>0</v>
      </c>
      <c r="M45" s="6">
        <v>0</v>
      </c>
      <c r="N45" s="6">
        <v>156000</v>
      </c>
    </row>
    <row r="46" spans="1:14" x14ac:dyDescent="0.2">
      <c r="A46" s="4" t="s">
        <v>14</v>
      </c>
      <c r="B46" s="4" t="s">
        <v>383</v>
      </c>
      <c r="C46" s="4">
        <v>40</v>
      </c>
      <c r="D46" s="5">
        <v>45771</v>
      </c>
      <c r="E46" s="4">
        <v>901907732</v>
      </c>
      <c r="F46" s="4" t="s">
        <v>16</v>
      </c>
      <c r="G46" s="4">
        <v>901193232</v>
      </c>
      <c r="H46" s="4" t="s">
        <v>62</v>
      </c>
      <c r="I46" s="6">
        <f t="shared" si="0"/>
        <v>191192</v>
      </c>
      <c r="J46" s="6">
        <v>0</v>
      </c>
      <c r="K46" s="6">
        <v>0</v>
      </c>
      <c r="L46" s="6">
        <v>0</v>
      </c>
      <c r="M46" s="6">
        <v>0</v>
      </c>
      <c r="N46" s="6">
        <v>191192</v>
      </c>
    </row>
    <row r="47" spans="1:14" x14ac:dyDescent="0.2">
      <c r="A47" s="4" t="s">
        <v>14</v>
      </c>
      <c r="B47" s="4" t="s">
        <v>382</v>
      </c>
      <c r="C47" s="4">
        <v>41</v>
      </c>
      <c r="D47" s="5">
        <v>45771</v>
      </c>
      <c r="E47" s="4">
        <v>901907732</v>
      </c>
      <c r="F47" s="4" t="s">
        <v>16</v>
      </c>
      <c r="G47" s="4">
        <v>860022343</v>
      </c>
      <c r="H47" s="4" t="s">
        <v>21</v>
      </c>
      <c r="I47" s="6">
        <f t="shared" si="0"/>
        <v>162000.84</v>
      </c>
      <c r="J47" s="6">
        <v>30780.16</v>
      </c>
      <c r="K47" s="6">
        <v>0</v>
      </c>
      <c r="L47" s="6">
        <v>0</v>
      </c>
      <c r="M47" s="6">
        <v>0</v>
      </c>
      <c r="N47" s="6">
        <v>192781</v>
      </c>
    </row>
    <row r="48" spans="1:14" x14ac:dyDescent="0.2">
      <c r="A48" s="4" t="s">
        <v>14</v>
      </c>
      <c r="B48" s="4" t="s">
        <v>381</v>
      </c>
      <c r="C48" s="4">
        <v>42</v>
      </c>
      <c r="D48" s="5">
        <v>45771</v>
      </c>
      <c r="E48" s="4">
        <v>901907732</v>
      </c>
      <c r="F48" s="4" t="s">
        <v>16</v>
      </c>
      <c r="G48" s="4">
        <v>860022343</v>
      </c>
      <c r="H48" s="4" t="s">
        <v>21</v>
      </c>
      <c r="I48" s="6">
        <f t="shared" si="0"/>
        <v>246000</v>
      </c>
      <c r="J48" s="6">
        <v>46740</v>
      </c>
      <c r="K48" s="6">
        <v>0</v>
      </c>
      <c r="L48" s="6">
        <v>0</v>
      </c>
      <c r="M48" s="6">
        <v>0</v>
      </c>
      <c r="N48" s="6">
        <v>292740</v>
      </c>
    </row>
    <row r="49" spans="1:14" x14ac:dyDescent="0.2">
      <c r="A49" s="4" t="s">
        <v>14</v>
      </c>
      <c r="B49" s="4" t="s">
        <v>380</v>
      </c>
      <c r="C49" s="4">
        <v>43</v>
      </c>
      <c r="D49" s="5">
        <v>45771</v>
      </c>
      <c r="E49" s="4">
        <v>901907732</v>
      </c>
      <c r="F49" s="4" t="s">
        <v>16</v>
      </c>
      <c r="G49" s="4">
        <v>860022343</v>
      </c>
      <c r="H49" s="4" t="s">
        <v>21</v>
      </c>
      <c r="I49" s="6">
        <f t="shared" si="0"/>
        <v>815000</v>
      </c>
      <c r="J49" s="6">
        <v>154850</v>
      </c>
      <c r="K49" s="6">
        <v>0</v>
      </c>
      <c r="L49" s="6">
        <v>0</v>
      </c>
      <c r="M49" s="6">
        <v>0</v>
      </c>
      <c r="N49" s="6">
        <v>969850</v>
      </c>
    </row>
    <row r="50" spans="1:14" x14ac:dyDescent="0.2">
      <c r="A50" s="4" t="s">
        <v>14</v>
      </c>
      <c r="B50" s="4" t="s">
        <v>379</v>
      </c>
      <c r="C50" s="4">
        <v>44</v>
      </c>
      <c r="D50" s="5">
        <v>45784</v>
      </c>
      <c r="E50" s="4">
        <v>901907732</v>
      </c>
      <c r="F50" s="4" t="s">
        <v>16</v>
      </c>
      <c r="G50" s="4">
        <v>900643097</v>
      </c>
      <c r="H50" s="4" t="s">
        <v>36</v>
      </c>
      <c r="I50" s="6">
        <f t="shared" si="0"/>
        <v>1816237</v>
      </c>
      <c r="J50" s="6">
        <v>218500</v>
      </c>
      <c r="K50" s="6">
        <v>0</v>
      </c>
      <c r="L50" s="6">
        <v>0</v>
      </c>
      <c r="M50" s="6">
        <v>0</v>
      </c>
      <c r="N50" s="6">
        <v>2034737</v>
      </c>
    </row>
    <row r="51" spans="1:14" x14ac:dyDescent="0.2">
      <c r="A51" s="4" t="s">
        <v>14</v>
      </c>
      <c r="B51" s="4" t="s">
        <v>378</v>
      </c>
      <c r="C51" s="4">
        <v>45</v>
      </c>
      <c r="D51" s="5">
        <v>45784</v>
      </c>
      <c r="E51" s="4">
        <v>901907732</v>
      </c>
      <c r="F51" s="4" t="s">
        <v>16</v>
      </c>
      <c r="G51" s="4">
        <v>900643097</v>
      </c>
      <c r="H51" s="4" t="s">
        <v>36</v>
      </c>
      <c r="I51" s="6">
        <f t="shared" si="0"/>
        <v>1476764.71</v>
      </c>
      <c r="J51" s="6">
        <v>280585.28999999998</v>
      </c>
      <c r="K51" s="6">
        <v>0</v>
      </c>
      <c r="L51" s="6">
        <v>0</v>
      </c>
      <c r="M51" s="6">
        <v>0</v>
      </c>
      <c r="N51" s="6">
        <v>1757350</v>
      </c>
    </row>
    <row r="52" spans="1:14" x14ac:dyDescent="0.2">
      <c r="A52" s="4" t="s">
        <v>14</v>
      </c>
      <c r="B52" s="4" t="s">
        <v>274</v>
      </c>
      <c r="C52" s="4">
        <v>46</v>
      </c>
      <c r="D52" s="5">
        <v>45784</v>
      </c>
      <c r="E52" s="4">
        <v>901907732</v>
      </c>
      <c r="F52" s="4" t="s">
        <v>16</v>
      </c>
      <c r="G52" s="4">
        <v>901495799</v>
      </c>
      <c r="H52" s="4" t="s">
        <v>17</v>
      </c>
      <c r="I52" s="6">
        <f t="shared" si="0"/>
        <v>1650000</v>
      </c>
      <c r="J52" s="6">
        <v>313500</v>
      </c>
      <c r="K52" s="6">
        <v>0</v>
      </c>
      <c r="L52" s="6">
        <v>0</v>
      </c>
      <c r="M52" s="6">
        <v>0</v>
      </c>
      <c r="N52" s="6">
        <v>1963500</v>
      </c>
    </row>
    <row r="53" spans="1:14" x14ac:dyDescent="0.2">
      <c r="A53" s="4" t="s">
        <v>14</v>
      </c>
      <c r="B53" s="4" t="s">
        <v>84</v>
      </c>
      <c r="C53" s="4">
        <v>47</v>
      </c>
      <c r="D53" s="5">
        <v>45784</v>
      </c>
      <c r="E53" s="4">
        <v>901907732</v>
      </c>
      <c r="F53" s="4" t="s">
        <v>16</v>
      </c>
      <c r="G53" s="4">
        <v>901495799</v>
      </c>
      <c r="H53" s="4" t="s">
        <v>17</v>
      </c>
      <c r="I53" s="6">
        <f t="shared" si="0"/>
        <v>2128439</v>
      </c>
      <c r="J53" s="6">
        <v>278877.06</v>
      </c>
      <c r="K53" s="6">
        <v>0</v>
      </c>
      <c r="L53" s="6">
        <v>0</v>
      </c>
      <c r="M53" s="6">
        <v>0</v>
      </c>
      <c r="N53" s="6">
        <v>2407316.06</v>
      </c>
    </row>
    <row r="54" spans="1:14" x14ac:dyDescent="0.2">
      <c r="A54" s="4" t="s">
        <v>14</v>
      </c>
      <c r="B54" s="4" t="s">
        <v>377</v>
      </c>
      <c r="C54" s="4">
        <v>48</v>
      </c>
      <c r="D54" s="5">
        <v>45784</v>
      </c>
      <c r="E54" s="4">
        <v>901907732</v>
      </c>
      <c r="F54" s="4" t="s">
        <v>16</v>
      </c>
      <c r="G54" s="4">
        <v>901428649</v>
      </c>
      <c r="H54" s="4" t="s">
        <v>72</v>
      </c>
      <c r="I54" s="6">
        <f t="shared" si="0"/>
        <v>903072</v>
      </c>
      <c r="J54" s="6">
        <v>0</v>
      </c>
      <c r="K54" s="6">
        <v>0</v>
      </c>
      <c r="L54" s="6">
        <v>0</v>
      </c>
      <c r="M54" s="6">
        <v>0</v>
      </c>
      <c r="N54" s="6">
        <v>903072</v>
      </c>
    </row>
    <row r="55" spans="1:14" x14ac:dyDescent="0.2">
      <c r="A55" s="4" t="s">
        <v>14</v>
      </c>
      <c r="B55" s="4" t="s">
        <v>376</v>
      </c>
      <c r="C55" s="4">
        <v>49</v>
      </c>
      <c r="D55" s="5">
        <v>45784</v>
      </c>
      <c r="E55" s="4">
        <v>901907732</v>
      </c>
      <c r="F55" s="4" t="s">
        <v>16</v>
      </c>
      <c r="G55" s="4">
        <v>901105552</v>
      </c>
      <c r="H55" s="4" t="s">
        <v>69</v>
      </c>
      <c r="I55" s="6">
        <f t="shared" si="0"/>
        <v>5780978</v>
      </c>
      <c r="J55" s="6">
        <v>0</v>
      </c>
      <c r="K55" s="6">
        <v>0</v>
      </c>
      <c r="L55" s="6">
        <v>0</v>
      </c>
      <c r="M55" s="6">
        <v>0</v>
      </c>
      <c r="N55" s="6">
        <v>5780978</v>
      </c>
    </row>
    <row r="56" spans="1:14" x14ac:dyDescent="0.2">
      <c r="A56" s="4" t="s">
        <v>14</v>
      </c>
      <c r="B56" s="4" t="s">
        <v>375</v>
      </c>
      <c r="C56" s="4">
        <v>50</v>
      </c>
      <c r="D56" s="5">
        <v>45784</v>
      </c>
      <c r="E56" s="4">
        <v>901907732</v>
      </c>
      <c r="F56" s="4" t="s">
        <v>16</v>
      </c>
      <c r="G56" s="4">
        <v>901105552</v>
      </c>
      <c r="H56" s="4" t="s">
        <v>69</v>
      </c>
      <c r="I56" s="6">
        <f t="shared" si="0"/>
        <v>1684600</v>
      </c>
      <c r="J56" s="6">
        <v>0</v>
      </c>
      <c r="K56" s="6">
        <v>0</v>
      </c>
      <c r="L56" s="6">
        <v>0</v>
      </c>
      <c r="M56" s="6">
        <v>0</v>
      </c>
      <c r="N56" s="6">
        <v>1684600</v>
      </c>
    </row>
    <row r="57" spans="1:14" x14ac:dyDescent="0.2">
      <c r="A57" s="4" t="s">
        <v>14</v>
      </c>
      <c r="B57" s="4" t="s">
        <v>353</v>
      </c>
      <c r="C57" s="4">
        <v>51</v>
      </c>
      <c r="D57" s="5">
        <v>45784</v>
      </c>
      <c r="E57" s="4">
        <v>901907732</v>
      </c>
      <c r="F57" s="4" t="s">
        <v>16</v>
      </c>
      <c r="G57" s="4">
        <v>900208742</v>
      </c>
      <c r="H57" s="4" t="s">
        <v>67</v>
      </c>
      <c r="I57" s="6">
        <f t="shared" si="0"/>
        <v>780000</v>
      </c>
      <c r="J57" s="6">
        <v>0</v>
      </c>
      <c r="K57" s="6">
        <v>0</v>
      </c>
      <c r="L57" s="6">
        <v>0</v>
      </c>
      <c r="M57" s="6">
        <v>0</v>
      </c>
      <c r="N57" s="6">
        <v>780000</v>
      </c>
    </row>
    <row r="58" spans="1:14" x14ac:dyDescent="0.2">
      <c r="A58" s="4" t="s">
        <v>14</v>
      </c>
      <c r="B58" s="4" t="s">
        <v>374</v>
      </c>
      <c r="C58" s="4">
        <v>52</v>
      </c>
      <c r="D58" s="5">
        <v>45784</v>
      </c>
      <c r="E58" s="4">
        <v>901907732</v>
      </c>
      <c r="F58" s="4" t="s">
        <v>16</v>
      </c>
      <c r="G58" s="4">
        <v>900208742</v>
      </c>
      <c r="H58" s="4" t="s">
        <v>67</v>
      </c>
      <c r="I58" s="6">
        <f t="shared" si="0"/>
        <v>780000</v>
      </c>
      <c r="J58" s="6">
        <v>0</v>
      </c>
      <c r="K58" s="6">
        <v>0</v>
      </c>
      <c r="L58" s="6">
        <v>0</v>
      </c>
      <c r="M58" s="6">
        <v>0</v>
      </c>
      <c r="N58" s="6">
        <v>780000</v>
      </c>
    </row>
    <row r="59" spans="1:14" x14ac:dyDescent="0.2">
      <c r="A59" s="4" t="s">
        <v>14</v>
      </c>
      <c r="B59" s="4" t="s">
        <v>373</v>
      </c>
      <c r="C59" s="4">
        <v>53</v>
      </c>
      <c r="D59" s="5">
        <v>45784</v>
      </c>
      <c r="E59" s="4">
        <v>901907732</v>
      </c>
      <c r="F59" s="4" t="s">
        <v>16</v>
      </c>
      <c r="G59" s="4">
        <v>900208742</v>
      </c>
      <c r="H59" s="4" t="s">
        <v>67</v>
      </c>
      <c r="I59" s="6">
        <f t="shared" si="0"/>
        <v>200000</v>
      </c>
      <c r="J59" s="6">
        <v>0</v>
      </c>
      <c r="K59" s="6">
        <v>0</v>
      </c>
      <c r="L59" s="6">
        <v>0</v>
      </c>
      <c r="M59" s="6">
        <v>0</v>
      </c>
      <c r="N59" s="6">
        <v>200000</v>
      </c>
    </row>
    <row r="60" spans="1:14" x14ac:dyDescent="0.2">
      <c r="A60" s="4" t="s">
        <v>14</v>
      </c>
      <c r="B60" s="4" t="s">
        <v>372</v>
      </c>
      <c r="C60" s="4">
        <v>54</v>
      </c>
      <c r="D60" s="5">
        <v>45784</v>
      </c>
      <c r="E60" s="4">
        <v>901907732</v>
      </c>
      <c r="F60" s="4" t="s">
        <v>16</v>
      </c>
      <c r="G60" s="4">
        <v>811000784</v>
      </c>
      <c r="H60" s="4" t="s">
        <v>33</v>
      </c>
      <c r="I60" s="6">
        <f t="shared" si="0"/>
        <v>1729962</v>
      </c>
      <c r="J60" s="6">
        <v>0</v>
      </c>
      <c r="K60" s="6">
        <v>0</v>
      </c>
      <c r="L60" s="6">
        <v>0</v>
      </c>
      <c r="M60" s="6">
        <v>0</v>
      </c>
      <c r="N60" s="6">
        <v>1729962</v>
      </c>
    </row>
    <row r="61" spans="1:14" x14ac:dyDescent="0.2">
      <c r="A61" s="4" t="s">
        <v>14</v>
      </c>
      <c r="B61" s="4" t="s">
        <v>371</v>
      </c>
      <c r="C61" s="4">
        <v>55</v>
      </c>
      <c r="D61" s="5">
        <v>45784</v>
      </c>
      <c r="E61" s="4">
        <v>901907732</v>
      </c>
      <c r="F61" s="4" t="s">
        <v>16</v>
      </c>
      <c r="G61" s="4">
        <v>811000784</v>
      </c>
      <c r="H61" s="4" t="s">
        <v>33</v>
      </c>
      <c r="I61" s="6">
        <f t="shared" si="0"/>
        <v>2105000</v>
      </c>
      <c r="J61" s="6">
        <v>399950</v>
      </c>
      <c r="K61" s="6">
        <v>0</v>
      </c>
      <c r="L61" s="6">
        <v>0</v>
      </c>
      <c r="M61" s="6">
        <v>0</v>
      </c>
      <c r="N61" s="6">
        <v>2504950</v>
      </c>
    </row>
    <row r="62" spans="1:14" x14ac:dyDescent="0.2">
      <c r="A62" s="4" t="s">
        <v>14</v>
      </c>
      <c r="B62" s="4" t="s">
        <v>370</v>
      </c>
      <c r="C62" s="4">
        <v>56</v>
      </c>
      <c r="D62" s="5">
        <v>45784</v>
      </c>
      <c r="E62" s="4">
        <v>901907732</v>
      </c>
      <c r="F62" s="4" t="s">
        <v>16</v>
      </c>
      <c r="G62" s="4">
        <v>811000784</v>
      </c>
      <c r="H62" s="4" t="s">
        <v>33</v>
      </c>
      <c r="I62" s="6">
        <f t="shared" si="0"/>
        <v>800000</v>
      </c>
      <c r="J62" s="6">
        <v>152000</v>
      </c>
      <c r="K62" s="6">
        <v>0</v>
      </c>
      <c r="L62" s="6">
        <v>0</v>
      </c>
      <c r="M62" s="6">
        <v>0</v>
      </c>
      <c r="N62" s="6">
        <v>952000</v>
      </c>
    </row>
    <row r="63" spans="1:14" x14ac:dyDescent="0.2">
      <c r="A63" s="4" t="s">
        <v>14</v>
      </c>
      <c r="B63" s="4" t="s">
        <v>369</v>
      </c>
      <c r="C63" s="4">
        <v>57</v>
      </c>
      <c r="D63" s="5">
        <v>45784</v>
      </c>
      <c r="E63" s="4">
        <v>901907732</v>
      </c>
      <c r="F63" s="4" t="s">
        <v>16</v>
      </c>
      <c r="G63" s="4">
        <v>860022343</v>
      </c>
      <c r="H63" s="4" t="s">
        <v>21</v>
      </c>
      <c r="I63" s="6">
        <f t="shared" si="0"/>
        <v>1950000</v>
      </c>
      <c r="J63" s="6">
        <v>370500</v>
      </c>
      <c r="K63" s="6">
        <v>0</v>
      </c>
      <c r="L63" s="6">
        <v>0</v>
      </c>
      <c r="M63" s="6">
        <v>0</v>
      </c>
      <c r="N63" s="6">
        <v>2320500</v>
      </c>
    </row>
    <row r="64" spans="1:14" x14ac:dyDescent="0.2">
      <c r="A64" s="4" t="s">
        <v>14</v>
      </c>
      <c r="B64" s="4" t="s">
        <v>368</v>
      </c>
      <c r="C64" s="4">
        <v>58</v>
      </c>
      <c r="D64" s="5">
        <v>45784</v>
      </c>
      <c r="E64" s="4">
        <v>901907732</v>
      </c>
      <c r="F64" s="4" t="s">
        <v>16</v>
      </c>
      <c r="G64" s="4">
        <v>900643097</v>
      </c>
      <c r="H64" s="4" t="s">
        <v>36</v>
      </c>
      <c r="I64" s="6">
        <f t="shared" si="0"/>
        <v>1816750</v>
      </c>
      <c r="J64" s="6">
        <v>218595</v>
      </c>
      <c r="K64" s="6">
        <v>0</v>
      </c>
      <c r="L64" s="6">
        <v>0</v>
      </c>
      <c r="M64" s="6">
        <v>0</v>
      </c>
      <c r="N64" s="6">
        <v>2035345</v>
      </c>
    </row>
    <row r="65" spans="1:14" x14ac:dyDescent="0.2">
      <c r="A65" s="4" t="s">
        <v>14</v>
      </c>
      <c r="B65" s="4" t="s">
        <v>367</v>
      </c>
      <c r="C65" s="4">
        <v>59</v>
      </c>
      <c r="D65" s="5">
        <v>45785</v>
      </c>
      <c r="E65" s="4">
        <v>901907732</v>
      </c>
      <c r="F65" s="4" t="s">
        <v>16</v>
      </c>
      <c r="G65" s="4">
        <v>901193232</v>
      </c>
      <c r="H65" s="4" t="s">
        <v>62</v>
      </c>
      <c r="I65" s="6">
        <f t="shared" si="0"/>
        <v>191192</v>
      </c>
      <c r="J65" s="6">
        <v>0</v>
      </c>
      <c r="K65" s="6">
        <v>0</v>
      </c>
      <c r="L65" s="6">
        <v>0</v>
      </c>
      <c r="M65" s="6">
        <v>0</v>
      </c>
      <c r="N65" s="6">
        <v>191192</v>
      </c>
    </row>
    <row r="66" spans="1:14" x14ac:dyDescent="0.2">
      <c r="A66" s="4" t="s">
        <v>14</v>
      </c>
      <c r="B66" s="4" t="s">
        <v>366</v>
      </c>
      <c r="C66" s="4">
        <v>60</v>
      </c>
      <c r="D66" s="5">
        <v>45785</v>
      </c>
      <c r="E66" s="4">
        <v>901907732</v>
      </c>
      <c r="F66" s="4" t="s">
        <v>16</v>
      </c>
      <c r="G66" s="4">
        <v>901225179</v>
      </c>
      <c r="H66" s="4" t="s">
        <v>126</v>
      </c>
      <c r="I66" s="6">
        <f t="shared" ref="I66:I129" si="1">+N66-M66-L66-K66-J66</f>
        <v>868854</v>
      </c>
      <c r="J66" s="6">
        <v>0</v>
      </c>
      <c r="K66" s="6">
        <v>0</v>
      </c>
      <c r="L66" s="6">
        <v>0</v>
      </c>
      <c r="M66" s="6">
        <v>0</v>
      </c>
      <c r="N66" s="6">
        <v>868854</v>
      </c>
    </row>
    <row r="67" spans="1:14" x14ac:dyDescent="0.2">
      <c r="A67" s="4" t="s">
        <v>14</v>
      </c>
      <c r="B67" s="4" t="s">
        <v>365</v>
      </c>
      <c r="C67" s="4">
        <v>61</v>
      </c>
      <c r="D67" s="5">
        <v>45785</v>
      </c>
      <c r="E67" s="4">
        <v>901907732</v>
      </c>
      <c r="F67" s="4" t="s">
        <v>16</v>
      </c>
      <c r="G67" s="4">
        <v>900383497</v>
      </c>
      <c r="H67" s="4" t="s">
        <v>60</v>
      </c>
      <c r="I67" s="6">
        <f t="shared" si="1"/>
        <v>432627</v>
      </c>
      <c r="J67" s="6">
        <v>0</v>
      </c>
      <c r="K67" s="6">
        <v>0</v>
      </c>
      <c r="L67" s="6">
        <v>0</v>
      </c>
      <c r="M67" s="6">
        <v>0</v>
      </c>
      <c r="N67" s="6">
        <v>432627</v>
      </c>
    </row>
    <row r="68" spans="1:14" x14ac:dyDescent="0.2">
      <c r="A68" s="4" t="s">
        <v>14</v>
      </c>
      <c r="B68" s="4" t="s">
        <v>364</v>
      </c>
      <c r="C68" s="4">
        <v>62</v>
      </c>
      <c r="D68" s="5">
        <v>45785</v>
      </c>
      <c r="E68" s="4">
        <v>901907732</v>
      </c>
      <c r="F68" s="4" t="s">
        <v>16</v>
      </c>
      <c r="G68" s="4">
        <v>901884325</v>
      </c>
      <c r="H68" s="4" t="s">
        <v>289</v>
      </c>
      <c r="I68" s="6">
        <f t="shared" si="1"/>
        <v>367851</v>
      </c>
      <c r="J68" s="6">
        <v>0</v>
      </c>
      <c r="K68" s="6">
        <v>0</v>
      </c>
      <c r="L68" s="6">
        <v>0</v>
      </c>
      <c r="M68" s="6">
        <v>0</v>
      </c>
      <c r="N68" s="6">
        <v>367851</v>
      </c>
    </row>
    <row r="69" spans="1:14" x14ac:dyDescent="0.2">
      <c r="A69" s="4" t="s">
        <v>14</v>
      </c>
      <c r="B69" s="4" t="s">
        <v>357</v>
      </c>
      <c r="C69" s="4">
        <v>63</v>
      </c>
      <c r="D69" s="5">
        <v>45785</v>
      </c>
      <c r="E69" s="4">
        <v>901907732</v>
      </c>
      <c r="F69" s="4" t="s">
        <v>16</v>
      </c>
      <c r="G69" s="4">
        <v>830087371</v>
      </c>
      <c r="H69" s="4" t="s">
        <v>162</v>
      </c>
      <c r="I69" s="6">
        <f t="shared" si="1"/>
        <v>1128840</v>
      </c>
      <c r="J69" s="6">
        <v>0</v>
      </c>
      <c r="K69" s="6">
        <v>0</v>
      </c>
      <c r="L69" s="6">
        <v>0</v>
      </c>
      <c r="M69" s="6">
        <v>0</v>
      </c>
      <c r="N69" s="6">
        <v>1128840</v>
      </c>
    </row>
    <row r="70" spans="1:14" x14ac:dyDescent="0.2">
      <c r="A70" s="4" t="s">
        <v>14</v>
      </c>
      <c r="B70" s="4" t="s">
        <v>363</v>
      </c>
      <c r="C70" s="4">
        <v>64</v>
      </c>
      <c r="D70" s="5">
        <v>45785</v>
      </c>
      <c r="E70" s="4">
        <v>901907732</v>
      </c>
      <c r="F70" s="4" t="s">
        <v>16</v>
      </c>
      <c r="G70" s="4">
        <v>811044610</v>
      </c>
      <c r="H70" s="4" t="s">
        <v>54</v>
      </c>
      <c r="I70" s="6">
        <f t="shared" si="1"/>
        <v>550000</v>
      </c>
      <c r="J70" s="6">
        <v>104500</v>
      </c>
      <c r="K70" s="6">
        <v>0</v>
      </c>
      <c r="L70" s="6">
        <v>0</v>
      </c>
      <c r="M70" s="6">
        <v>0</v>
      </c>
      <c r="N70" s="6">
        <v>654500</v>
      </c>
    </row>
    <row r="71" spans="1:14" x14ac:dyDescent="0.2">
      <c r="A71" s="4" t="s">
        <v>14</v>
      </c>
      <c r="B71" s="4" t="s">
        <v>293</v>
      </c>
      <c r="C71" s="4">
        <v>65</v>
      </c>
      <c r="D71" s="5">
        <v>45785</v>
      </c>
      <c r="E71" s="4">
        <v>901907732</v>
      </c>
      <c r="F71" s="4" t="s">
        <v>16</v>
      </c>
      <c r="G71" s="4">
        <v>811026805</v>
      </c>
      <c r="H71" s="4" t="s">
        <v>52</v>
      </c>
      <c r="I71" s="6">
        <f t="shared" si="1"/>
        <v>550000</v>
      </c>
      <c r="J71" s="6">
        <v>104500</v>
      </c>
      <c r="K71" s="6">
        <v>0</v>
      </c>
      <c r="L71" s="6">
        <v>0</v>
      </c>
      <c r="M71" s="6">
        <v>0</v>
      </c>
      <c r="N71" s="6">
        <v>654500</v>
      </c>
    </row>
    <row r="72" spans="1:14" x14ac:dyDescent="0.2">
      <c r="A72" s="4" t="s">
        <v>14</v>
      </c>
      <c r="B72" s="4" t="s">
        <v>362</v>
      </c>
      <c r="C72" s="4">
        <v>66</v>
      </c>
      <c r="D72" s="5">
        <v>45785</v>
      </c>
      <c r="E72" s="4">
        <v>901907732</v>
      </c>
      <c r="F72" s="4" t="s">
        <v>16</v>
      </c>
      <c r="G72" s="4">
        <v>900688446</v>
      </c>
      <c r="H72" s="4" t="s">
        <v>47</v>
      </c>
      <c r="I72" s="6">
        <f t="shared" si="1"/>
        <v>2085282</v>
      </c>
      <c r="J72" s="6">
        <v>171000</v>
      </c>
      <c r="K72" s="6">
        <v>0</v>
      </c>
      <c r="L72" s="6">
        <v>0</v>
      </c>
      <c r="M72" s="6">
        <v>0</v>
      </c>
      <c r="N72" s="6">
        <v>2256282</v>
      </c>
    </row>
    <row r="73" spans="1:14" x14ac:dyDescent="0.2">
      <c r="A73" s="4" t="s">
        <v>14</v>
      </c>
      <c r="B73" s="4" t="s">
        <v>361</v>
      </c>
      <c r="C73" s="4">
        <v>67</v>
      </c>
      <c r="D73" s="5">
        <v>45785</v>
      </c>
      <c r="E73" s="4">
        <v>901907732</v>
      </c>
      <c r="F73" s="4" t="s">
        <v>16</v>
      </c>
      <c r="G73" s="4">
        <v>900688446</v>
      </c>
      <c r="H73" s="4" t="s">
        <v>47</v>
      </c>
      <c r="I73" s="6">
        <f t="shared" si="1"/>
        <v>900000</v>
      </c>
      <c r="J73" s="6">
        <v>171000</v>
      </c>
      <c r="K73" s="6">
        <v>0</v>
      </c>
      <c r="L73" s="6">
        <v>0</v>
      </c>
      <c r="M73" s="6">
        <v>0</v>
      </c>
      <c r="N73" s="6">
        <v>1071000</v>
      </c>
    </row>
    <row r="74" spans="1:14" x14ac:dyDescent="0.2">
      <c r="A74" s="4" t="s">
        <v>14</v>
      </c>
      <c r="B74" s="4" t="s">
        <v>271</v>
      </c>
      <c r="C74" s="4">
        <v>68</v>
      </c>
      <c r="D74" s="5">
        <v>45785</v>
      </c>
      <c r="E74" s="4">
        <v>901907732</v>
      </c>
      <c r="F74" s="4" t="s">
        <v>16</v>
      </c>
      <c r="G74" s="4">
        <v>901495799</v>
      </c>
      <c r="H74" s="4" t="s">
        <v>17</v>
      </c>
      <c r="I74" s="6">
        <f t="shared" si="1"/>
        <v>2128493</v>
      </c>
      <c r="J74" s="6">
        <v>0</v>
      </c>
      <c r="K74" s="6">
        <v>0</v>
      </c>
      <c r="L74" s="6">
        <v>0</v>
      </c>
      <c r="M74" s="6">
        <v>0</v>
      </c>
      <c r="N74" s="6">
        <v>2128493</v>
      </c>
    </row>
    <row r="75" spans="1:14" x14ac:dyDescent="0.2">
      <c r="A75" s="4" t="s">
        <v>14</v>
      </c>
      <c r="B75" s="4" t="s">
        <v>349</v>
      </c>
      <c r="C75" s="4">
        <v>69</v>
      </c>
      <c r="D75" s="5">
        <v>45793</v>
      </c>
      <c r="E75" s="4">
        <v>901907732</v>
      </c>
      <c r="F75" s="4" t="s">
        <v>16</v>
      </c>
      <c r="G75" s="4">
        <v>811017918</v>
      </c>
      <c r="H75" s="4" t="s">
        <v>19</v>
      </c>
      <c r="I75" s="6">
        <f t="shared" si="1"/>
        <v>1980000</v>
      </c>
      <c r="J75" s="6">
        <v>376200</v>
      </c>
      <c r="K75" s="6">
        <v>0</v>
      </c>
      <c r="L75" s="6">
        <v>0</v>
      </c>
      <c r="M75" s="6">
        <v>0</v>
      </c>
      <c r="N75" s="6">
        <v>2356200</v>
      </c>
    </row>
    <row r="76" spans="1:14" x14ac:dyDescent="0.2">
      <c r="A76" s="4" t="s">
        <v>14</v>
      </c>
      <c r="B76" s="4" t="s">
        <v>356</v>
      </c>
      <c r="C76" s="4">
        <v>70</v>
      </c>
      <c r="D76" s="5">
        <v>45794</v>
      </c>
      <c r="E76" s="4">
        <v>901907732</v>
      </c>
      <c r="F76" s="4" t="s">
        <v>16</v>
      </c>
      <c r="G76" s="4">
        <v>901105552</v>
      </c>
      <c r="H76" s="4" t="s">
        <v>69</v>
      </c>
      <c r="I76" s="6">
        <f t="shared" si="1"/>
        <v>4160000</v>
      </c>
      <c r="J76" s="6">
        <v>0</v>
      </c>
      <c r="K76" s="6">
        <v>0</v>
      </c>
      <c r="L76" s="6">
        <v>0</v>
      </c>
      <c r="M76" s="6">
        <v>0</v>
      </c>
      <c r="N76" s="6">
        <v>4160000</v>
      </c>
    </row>
    <row r="77" spans="1:14" x14ac:dyDescent="0.2">
      <c r="A77" s="4" t="s">
        <v>14</v>
      </c>
      <c r="B77" s="4" t="s">
        <v>350</v>
      </c>
      <c r="C77" s="4">
        <v>71</v>
      </c>
      <c r="D77" s="5">
        <v>45798</v>
      </c>
      <c r="E77" s="4">
        <v>901907732</v>
      </c>
      <c r="F77" s="4" t="s">
        <v>16</v>
      </c>
      <c r="G77" s="4">
        <v>900208742</v>
      </c>
      <c r="H77" s="4" t="s">
        <v>67</v>
      </c>
      <c r="I77" s="6">
        <f t="shared" si="1"/>
        <v>580000</v>
      </c>
      <c r="J77" s="6">
        <v>0</v>
      </c>
      <c r="K77" s="6">
        <v>0</v>
      </c>
      <c r="L77" s="6">
        <v>0</v>
      </c>
      <c r="M77" s="6">
        <v>0</v>
      </c>
      <c r="N77" s="6">
        <v>580000</v>
      </c>
    </row>
    <row r="78" spans="1:14" x14ac:dyDescent="0.2">
      <c r="A78" s="4" t="s">
        <v>14</v>
      </c>
      <c r="B78" s="4" t="s">
        <v>270</v>
      </c>
      <c r="C78" s="4">
        <v>72</v>
      </c>
      <c r="D78" s="5">
        <v>45812</v>
      </c>
      <c r="E78" s="4">
        <v>901907732</v>
      </c>
      <c r="F78" s="4" t="s">
        <v>16</v>
      </c>
      <c r="G78" s="4">
        <v>901495799</v>
      </c>
      <c r="H78" s="4" t="s">
        <v>17</v>
      </c>
      <c r="I78" s="6">
        <f t="shared" si="1"/>
        <v>2600000</v>
      </c>
      <c r="J78" s="6">
        <v>494000</v>
      </c>
      <c r="K78" s="6">
        <v>0</v>
      </c>
      <c r="L78" s="6">
        <v>0</v>
      </c>
      <c r="M78" s="6">
        <v>0</v>
      </c>
      <c r="N78" s="6">
        <v>3094000</v>
      </c>
    </row>
    <row r="79" spans="1:14" x14ac:dyDescent="0.2">
      <c r="A79" s="4" t="s">
        <v>14</v>
      </c>
      <c r="B79" s="4" t="s">
        <v>269</v>
      </c>
      <c r="C79" s="4">
        <v>73</v>
      </c>
      <c r="D79" s="5">
        <v>45812</v>
      </c>
      <c r="E79" s="4">
        <v>901907732</v>
      </c>
      <c r="F79" s="4" t="s">
        <v>16</v>
      </c>
      <c r="G79" s="4">
        <v>901495799</v>
      </c>
      <c r="H79" s="4" t="s">
        <v>17</v>
      </c>
      <c r="I79" s="6">
        <f t="shared" si="1"/>
        <v>2128273</v>
      </c>
      <c r="J79" s="6">
        <v>0</v>
      </c>
      <c r="K79" s="6">
        <v>0</v>
      </c>
      <c r="L79" s="6">
        <v>0</v>
      </c>
      <c r="M79" s="6">
        <v>0</v>
      </c>
      <c r="N79" s="6">
        <v>2128273</v>
      </c>
    </row>
    <row r="80" spans="1:14" x14ac:dyDescent="0.2">
      <c r="A80" s="4" t="s">
        <v>14</v>
      </c>
      <c r="B80" s="4" t="s">
        <v>348</v>
      </c>
      <c r="C80" s="4">
        <v>74</v>
      </c>
      <c r="D80" s="5">
        <v>45812</v>
      </c>
      <c r="E80" s="4">
        <v>901907732</v>
      </c>
      <c r="F80" s="4" t="s">
        <v>16</v>
      </c>
      <c r="G80" s="4">
        <v>900643097</v>
      </c>
      <c r="H80" s="4" t="s">
        <v>36</v>
      </c>
      <c r="I80" s="6">
        <f t="shared" si="1"/>
        <v>1816250</v>
      </c>
      <c r="J80" s="6">
        <v>218500</v>
      </c>
      <c r="K80" s="6">
        <v>0</v>
      </c>
      <c r="L80" s="6">
        <v>0</v>
      </c>
      <c r="M80" s="6">
        <v>0</v>
      </c>
      <c r="N80" s="6">
        <v>2034750</v>
      </c>
    </row>
    <row r="81" spans="1:14" x14ac:dyDescent="0.2">
      <c r="A81" s="4" t="s">
        <v>14</v>
      </c>
      <c r="B81" s="4" t="s">
        <v>347</v>
      </c>
      <c r="C81" s="4">
        <v>75</v>
      </c>
      <c r="D81" s="5">
        <v>45812</v>
      </c>
      <c r="E81" s="4">
        <v>901907732</v>
      </c>
      <c r="F81" s="4" t="s">
        <v>16</v>
      </c>
      <c r="G81" s="4">
        <v>901428649</v>
      </c>
      <c r="H81" s="4" t="s">
        <v>72</v>
      </c>
      <c r="I81" s="6">
        <f t="shared" si="1"/>
        <v>903072</v>
      </c>
      <c r="J81" s="6">
        <v>0</v>
      </c>
      <c r="K81" s="6">
        <v>0</v>
      </c>
      <c r="L81" s="6">
        <v>0</v>
      </c>
      <c r="M81" s="6">
        <v>0</v>
      </c>
      <c r="N81" s="6">
        <v>903072</v>
      </c>
    </row>
    <row r="82" spans="1:14" x14ac:dyDescent="0.2">
      <c r="A82" s="4" t="s">
        <v>14</v>
      </c>
      <c r="B82" s="4" t="s">
        <v>346</v>
      </c>
      <c r="C82" s="4">
        <v>76</v>
      </c>
      <c r="D82" s="5">
        <v>45812</v>
      </c>
      <c r="E82" s="4">
        <v>901907732</v>
      </c>
      <c r="F82" s="4" t="s">
        <v>16</v>
      </c>
      <c r="G82" s="4">
        <v>901105552</v>
      </c>
      <c r="H82" s="4" t="s">
        <v>69</v>
      </c>
      <c r="I82" s="6">
        <f t="shared" si="1"/>
        <v>5823680</v>
      </c>
      <c r="J82" s="6">
        <v>0</v>
      </c>
      <c r="K82" s="6">
        <v>0</v>
      </c>
      <c r="L82" s="6">
        <v>0</v>
      </c>
      <c r="M82" s="6">
        <v>0</v>
      </c>
      <c r="N82" s="6">
        <v>5823680</v>
      </c>
    </row>
    <row r="83" spans="1:14" x14ac:dyDescent="0.2">
      <c r="A83" s="4" t="s">
        <v>14</v>
      </c>
      <c r="B83" s="4" t="s">
        <v>345</v>
      </c>
      <c r="C83" s="4">
        <v>77</v>
      </c>
      <c r="D83" s="5">
        <v>45812</v>
      </c>
      <c r="E83" s="4">
        <v>901907732</v>
      </c>
      <c r="F83" s="4" t="s">
        <v>16</v>
      </c>
      <c r="G83" s="4">
        <v>901105552</v>
      </c>
      <c r="H83" s="4" t="s">
        <v>69</v>
      </c>
      <c r="I83" s="6">
        <f t="shared" si="1"/>
        <v>1984600</v>
      </c>
      <c r="J83" s="6">
        <v>0</v>
      </c>
      <c r="K83" s="6">
        <v>0</v>
      </c>
      <c r="L83" s="6">
        <v>0</v>
      </c>
      <c r="M83" s="6">
        <v>0</v>
      </c>
      <c r="N83" s="6">
        <v>1984600</v>
      </c>
    </row>
    <row r="84" spans="1:14" x14ac:dyDescent="0.2">
      <c r="A84" s="4" t="s">
        <v>14</v>
      </c>
      <c r="B84" s="4" t="s">
        <v>344</v>
      </c>
      <c r="C84" s="4">
        <v>78</v>
      </c>
      <c r="D84" s="5">
        <v>45812</v>
      </c>
      <c r="E84" s="4">
        <v>901907732</v>
      </c>
      <c r="F84" s="4" t="s">
        <v>16</v>
      </c>
      <c r="G84" s="4">
        <v>900208742</v>
      </c>
      <c r="H84" s="4" t="s">
        <v>67</v>
      </c>
      <c r="I84" s="6">
        <f t="shared" si="1"/>
        <v>200000</v>
      </c>
      <c r="J84" s="6">
        <v>0</v>
      </c>
      <c r="K84" s="6">
        <v>0</v>
      </c>
      <c r="L84" s="6">
        <v>0</v>
      </c>
      <c r="M84" s="6">
        <v>0</v>
      </c>
      <c r="N84" s="6">
        <v>200000</v>
      </c>
    </row>
    <row r="85" spans="1:14" x14ac:dyDescent="0.2">
      <c r="A85" s="4" t="s">
        <v>14</v>
      </c>
      <c r="B85" s="4" t="s">
        <v>343</v>
      </c>
      <c r="C85" s="4">
        <v>79</v>
      </c>
      <c r="D85" s="5">
        <v>45812</v>
      </c>
      <c r="E85" s="4">
        <v>901907732</v>
      </c>
      <c r="F85" s="4" t="s">
        <v>16</v>
      </c>
      <c r="G85" s="4">
        <v>811000784</v>
      </c>
      <c r="H85" s="4" t="s">
        <v>33</v>
      </c>
      <c r="I85" s="6">
        <f t="shared" si="1"/>
        <v>1729962</v>
      </c>
      <c r="J85" s="6">
        <v>0</v>
      </c>
      <c r="K85" s="6">
        <v>0</v>
      </c>
      <c r="L85" s="6">
        <v>0</v>
      </c>
      <c r="M85" s="6">
        <v>0</v>
      </c>
      <c r="N85" s="6">
        <v>1729962</v>
      </c>
    </row>
    <row r="86" spans="1:14" x14ac:dyDescent="0.2">
      <c r="A86" s="4" t="s">
        <v>14</v>
      </c>
      <c r="B86" s="4" t="s">
        <v>342</v>
      </c>
      <c r="C86" s="4">
        <v>80</v>
      </c>
      <c r="D86" s="5">
        <v>45812</v>
      </c>
      <c r="E86" s="4">
        <v>901907732</v>
      </c>
      <c r="F86" s="4" t="s">
        <v>16</v>
      </c>
      <c r="G86" s="4">
        <v>811000784</v>
      </c>
      <c r="H86" s="4" t="s">
        <v>33</v>
      </c>
      <c r="I86" s="6">
        <f t="shared" si="1"/>
        <v>2105000</v>
      </c>
      <c r="J86" s="6">
        <v>399950</v>
      </c>
      <c r="K86" s="6">
        <v>0</v>
      </c>
      <c r="L86" s="6">
        <v>0</v>
      </c>
      <c r="M86" s="6">
        <v>0</v>
      </c>
      <c r="N86" s="6">
        <v>2504950</v>
      </c>
    </row>
    <row r="87" spans="1:14" x14ac:dyDescent="0.2">
      <c r="A87" s="4" t="s">
        <v>14</v>
      </c>
      <c r="B87" s="4" t="s">
        <v>341</v>
      </c>
      <c r="C87" s="4">
        <v>81</v>
      </c>
      <c r="D87" s="5">
        <v>45812</v>
      </c>
      <c r="E87" s="4">
        <v>901907732</v>
      </c>
      <c r="F87" s="4" t="s">
        <v>16</v>
      </c>
      <c r="G87" s="4">
        <v>860022343</v>
      </c>
      <c r="H87" s="4" t="s">
        <v>21</v>
      </c>
      <c r="I87" s="6">
        <f t="shared" si="1"/>
        <v>1950000</v>
      </c>
      <c r="J87" s="6">
        <v>370500</v>
      </c>
      <c r="K87" s="6">
        <v>0</v>
      </c>
      <c r="L87" s="6">
        <v>0</v>
      </c>
      <c r="M87" s="6">
        <v>0</v>
      </c>
      <c r="N87" s="6">
        <v>2320500</v>
      </c>
    </row>
    <row r="88" spans="1:14" x14ac:dyDescent="0.2">
      <c r="A88" s="4" t="s">
        <v>14</v>
      </c>
      <c r="B88" s="4" t="s">
        <v>340</v>
      </c>
      <c r="C88" s="4">
        <v>82</v>
      </c>
      <c r="D88" s="5">
        <v>45812</v>
      </c>
      <c r="E88" s="4">
        <v>901907732</v>
      </c>
      <c r="F88" s="4" t="s">
        <v>16</v>
      </c>
      <c r="G88" s="4">
        <v>901193232</v>
      </c>
      <c r="H88" s="4" t="s">
        <v>62</v>
      </c>
      <c r="I88" s="6">
        <f t="shared" si="1"/>
        <v>191192</v>
      </c>
      <c r="J88" s="6">
        <v>0</v>
      </c>
      <c r="K88" s="6">
        <v>0</v>
      </c>
      <c r="L88" s="6">
        <v>0</v>
      </c>
      <c r="M88" s="6">
        <v>0</v>
      </c>
      <c r="N88" s="6">
        <v>191192</v>
      </c>
    </row>
    <row r="89" spans="1:14" x14ac:dyDescent="0.2">
      <c r="A89" s="4" t="s">
        <v>14</v>
      </c>
      <c r="B89" s="4" t="s">
        <v>339</v>
      </c>
      <c r="C89" s="4">
        <v>83</v>
      </c>
      <c r="D89" s="5">
        <v>45812</v>
      </c>
      <c r="E89" s="4">
        <v>901907732</v>
      </c>
      <c r="F89" s="4" t="s">
        <v>16</v>
      </c>
      <c r="G89" s="4">
        <v>901225179</v>
      </c>
      <c r="H89" s="4" t="s">
        <v>126</v>
      </c>
      <c r="I89" s="6">
        <f t="shared" si="1"/>
        <v>868854</v>
      </c>
      <c r="J89" s="6">
        <v>0</v>
      </c>
      <c r="K89" s="6">
        <v>0</v>
      </c>
      <c r="L89" s="6">
        <v>0</v>
      </c>
      <c r="M89" s="6">
        <v>0</v>
      </c>
      <c r="N89" s="6">
        <v>868854</v>
      </c>
    </row>
    <row r="90" spans="1:14" x14ac:dyDescent="0.2">
      <c r="A90" s="4" t="s">
        <v>14</v>
      </c>
      <c r="B90" s="4" t="s">
        <v>338</v>
      </c>
      <c r="C90" s="4">
        <v>84</v>
      </c>
      <c r="D90" s="5">
        <v>45812</v>
      </c>
      <c r="E90" s="4">
        <v>901907732</v>
      </c>
      <c r="F90" s="4" t="s">
        <v>16</v>
      </c>
      <c r="G90" s="4">
        <v>900383497</v>
      </c>
      <c r="H90" s="4" t="s">
        <v>60</v>
      </c>
      <c r="I90" s="6">
        <f t="shared" si="1"/>
        <v>432627</v>
      </c>
      <c r="J90" s="6">
        <v>0</v>
      </c>
      <c r="K90" s="6">
        <v>0</v>
      </c>
      <c r="L90" s="6">
        <v>0</v>
      </c>
      <c r="M90" s="6">
        <v>0</v>
      </c>
      <c r="N90" s="6">
        <v>432627</v>
      </c>
    </row>
    <row r="91" spans="1:14" x14ac:dyDescent="0.2">
      <c r="A91" s="4" t="s">
        <v>14</v>
      </c>
      <c r="B91" s="4" t="s">
        <v>337</v>
      </c>
      <c r="C91" s="4">
        <v>85</v>
      </c>
      <c r="D91" s="5">
        <v>45812</v>
      </c>
      <c r="E91" s="4">
        <v>901907732</v>
      </c>
      <c r="F91" s="4" t="s">
        <v>16</v>
      </c>
      <c r="G91" s="4">
        <v>901884325</v>
      </c>
      <c r="H91" s="4" t="s">
        <v>289</v>
      </c>
      <c r="I91" s="6">
        <f t="shared" si="1"/>
        <v>476587</v>
      </c>
      <c r="J91" s="6">
        <v>0</v>
      </c>
      <c r="K91" s="6">
        <v>0</v>
      </c>
      <c r="L91" s="6">
        <v>0</v>
      </c>
      <c r="M91" s="6">
        <v>0</v>
      </c>
      <c r="N91" s="6">
        <v>476587</v>
      </c>
    </row>
    <row r="92" spans="1:14" x14ac:dyDescent="0.2">
      <c r="A92" s="4" t="s">
        <v>14</v>
      </c>
      <c r="B92" s="4" t="s">
        <v>330</v>
      </c>
      <c r="C92" s="4">
        <v>86</v>
      </c>
      <c r="D92" s="5">
        <v>45812</v>
      </c>
      <c r="E92" s="4">
        <v>901907732</v>
      </c>
      <c r="F92" s="4" t="s">
        <v>16</v>
      </c>
      <c r="G92" s="4">
        <v>830087371</v>
      </c>
      <c r="H92" s="4" t="s">
        <v>162</v>
      </c>
      <c r="I92" s="6">
        <f t="shared" si="1"/>
        <v>1128840</v>
      </c>
      <c r="J92" s="6">
        <v>0</v>
      </c>
      <c r="K92" s="6">
        <v>0</v>
      </c>
      <c r="L92" s="6">
        <v>0</v>
      </c>
      <c r="M92" s="6">
        <v>0</v>
      </c>
      <c r="N92" s="6">
        <v>1128840</v>
      </c>
    </row>
    <row r="93" spans="1:14" x14ac:dyDescent="0.2">
      <c r="A93" s="4" t="s">
        <v>14</v>
      </c>
      <c r="B93" s="4" t="s">
        <v>331</v>
      </c>
      <c r="C93" s="4">
        <v>87</v>
      </c>
      <c r="D93" s="5">
        <v>45812</v>
      </c>
      <c r="E93" s="4">
        <v>901907732</v>
      </c>
      <c r="F93" s="4" t="s">
        <v>16</v>
      </c>
      <c r="G93" s="4">
        <v>811044610</v>
      </c>
      <c r="H93" s="4" t="s">
        <v>54</v>
      </c>
      <c r="I93" s="6">
        <f t="shared" si="1"/>
        <v>654500</v>
      </c>
      <c r="J93" s="6">
        <v>124355</v>
      </c>
      <c r="K93" s="6">
        <v>0</v>
      </c>
      <c r="L93" s="6">
        <v>0</v>
      </c>
      <c r="M93" s="6">
        <v>0</v>
      </c>
      <c r="N93" s="6">
        <v>778855</v>
      </c>
    </row>
    <row r="94" spans="1:14" x14ac:dyDescent="0.2">
      <c r="A94" s="4" t="s">
        <v>14</v>
      </c>
      <c r="B94" s="4" t="s">
        <v>292</v>
      </c>
      <c r="C94" s="4">
        <v>88</v>
      </c>
      <c r="D94" s="5">
        <v>45812</v>
      </c>
      <c r="E94" s="4">
        <v>901907732</v>
      </c>
      <c r="F94" s="4" t="s">
        <v>16</v>
      </c>
      <c r="G94" s="4">
        <v>811026805</v>
      </c>
      <c r="H94" s="4" t="s">
        <v>52</v>
      </c>
      <c r="I94" s="6">
        <f t="shared" si="1"/>
        <v>550000</v>
      </c>
      <c r="J94" s="6">
        <v>104500</v>
      </c>
      <c r="K94" s="6">
        <v>0</v>
      </c>
      <c r="L94" s="6">
        <v>0</v>
      </c>
      <c r="M94" s="6">
        <v>0</v>
      </c>
      <c r="N94" s="6">
        <v>654500</v>
      </c>
    </row>
    <row r="95" spans="1:14" x14ac:dyDescent="0.2">
      <c r="A95" s="4" t="s">
        <v>14</v>
      </c>
      <c r="B95" s="4" t="s">
        <v>336</v>
      </c>
      <c r="C95" s="4">
        <v>89</v>
      </c>
      <c r="D95" s="5">
        <v>45812</v>
      </c>
      <c r="E95" s="4">
        <v>901907732</v>
      </c>
      <c r="F95" s="4" t="s">
        <v>16</v>
      </c>
      <c r="G95" s="4">
        <v>900688446</v>
      </c>
      <c r="H95" s="4" t="s">
        <v>47</v>
      </c>
      <c r="I95" s="6">
        <f t="shared" si="1"/>
        <v>2085282</v>
      </c>
      <c r="J95" s="6">
        <v>171000</v>
      </c>
      <c r="K95" s="6">
        <v>0</v>
      </c>
      <c r="L95" s="6">
        <v>0</v>
      </c>
      <c r="M95" s="6">
        <v>0</v>
      </c>
      <c r="N95" s="6">
        <v>2256282</v>
      </c>
    </row>
    <row r="96" spans="1:14" x14ac:dyDescent="0.2">
      <c r="A96" s="4" t="s">
        <v>14</v>
      </c>
      <c r="B96" s="4" t="s">
        <v>324</v>
      </c>
      <c r="C96" s="4">
        <v>90</v>
      </c>
      <c r="D96" s="5">
        <v>45812</v>
      </c>
      <c r="E96" s="4">
        <v>901907732</v>
      </c>
      <c r="F96" s="4" t="s">
        <v>16</v>
      </c>
      <c r="G96" s="4">
        <v>811017918</v>
      </c>
      <c r="H96" s="4" t="s">
        <v>19</v>
      </c>
      <c r="I96" s="6">
        <f t="shared" si="1"/>
        <v>900000</v>
      </c>
      <c r="J96" s="6">
        <v>171000</v>
      </c>
      <c r="K96" s="6">
        <v>0</v>
      </c>
      <c r="L96" s="6">
        <v>0</v>
      </c>
      <c r="M96" s="6">
        <v>0</v>
      </c>
      <c r="N96" s="6">
        <v>1071000</v>
      </c>
    </row>
    <row r="97" spans="1:14" x14ac:dyDescent="0.2">
      <c r="A97" s="4" t="s">
        <v>14</v>
      </c>
      <c r="B97" s="4" t="s">
        <v>325</v>
      </c>
      <c r="C97" s="4">
        <v>91</v>
      </c>
      <c r="D97" s="5">
        <v>45812</v>
      </c>
      <c r="E97" s="4">
        <v>901907732</v>
      </c>
      <c r="F97" s="4" t="s">
        <v>16</v>
      </c>
      <c r="G97" s="4">
        <v>811017918</v>
      </c>
      <c r="H97" s="4" t="s">
        <v>19</v>
      </c>
      <c r="I97" s="6">
        <f t="shared" si="1"/>
        <v>900000</v>
      </c>
      <c r="J97" s="6">
        <v>171000</v>
      </c>
      <c r="K97" s="6">
        <v>0</v>
      </c>
      <c r="L97" s="6">
        <v>0</v>
      </c>
      <c r="M97" s="6">
        <v>0</v>
      </c>
      <c r="N97" s="6">
        <v>1071000</v>
      </c>
    </row>
    <row r="98" spans="1:14" x14ac:dyDescent="0.2">
      <c r="A98" s="4" t="s">
        <v>14</v>
      </c>
      <c r="B98" s="4" t="s">
        <v>89</v>
      </c>
      <c r="C98" s="4">
        <v>92</v>
      </c>
      <c r="D98" s="5">
        <v>45812</v>
      </c>
      <c r="E98" s="4">
        <v>901907732</v>
      </c>
      <c r="F98" s="4" t="s">
        <v>16</v>
      </c>
      <c r="G98" s="4">
        <v>901094323</v>
      </c>
      <c r="H98" s="4" t="s">
        <v>90</v>
      </c>
      <c r="I98" s="6">
        <f t="shared" si="1"/>
        <v>1800000</v>
      </c>
      <c r="J98" s="6">
        <v>342000</v>
      </c>
      <c r="K98" s="6">
        <v>0</v>
      </c>
      <c r="L98" s="6">
        <v>0</v>
      </c>
      <c r="M98" s="6">
        <v>0</v>
      </c>
      <c r="N98" s="6">
        <v>2142000</v>
      </c>
    </row>
    <row r="99" spans="1:14" x14ac:dyDescent="0.2">
      <c r="A99" s="4" t="s">
        <v>14</v>
      </c>
      <c r="B99" s="4" t="s">
        <v>334</v>
      </c>
      <c r="C99" s="4">
        <v>93</v>
      </c>
      <c r="D99" s="5">
        <v>45812</v>
      </c>
      <c r="E99" s="4">
        <v>901907732</v>
      </c>
      <c r="F99" s="4" t="s">
        <v>16</v>
      </c>
      <c r="G99" s="4">
        <v>900727888</v>
      </c>
      <c r="H99" s="4" t="s">
        <v>335</v>
      </c>
      <c r="I99" s="6">
        <f t="shared" si="1"/>
        <v>1468240</v>
      </c>
      <c r="J99" s="6">
        <v>0</v>
      </c>
      <c r="K99" s="6">
        <v>0</v>
      </c>
      <c r="L99" s="6">
        <v>0</v>
      </c>
      <c r="M99" s="6">
        <v>0</v>
      </c>
      <c r="N99" s="6">
        <v>1468240</v>
      </c>
    </row>
    <row r="100" spans="1:14" x14ac:dyDescent="0.2">
      <c r="A100" s="4" t="s">
        <v>14</v>
      </c>
      <c r="B100" s="4" t="s">
        <v>332</v>
      </c>
      <c r="C100" s="4">
        <v>94</v>
      </c>
      <c r="D100" s="5">
        <v>45812</v>
      </c>
      <c r="E100" s="4">
        <v>901907732</v>
      </c>
      <c r="F100" s="4" t="s">
        <v>16</v>
      </c>
      <c r="G100" s="4">
        <v>900842157</v>
      </c>
      <c r="H100" s="4" t="s">
        <v>333</v>
      </c>
      <c r="I100" s="6">
        <f t="shared" si="1"/>
        <v>2408828</v>
      </c>
      <c r="J100" s="6">
        <v>0</v>
      </c>
      <c r="K100" s="6">
        <v>0</v>
      </c>
      <c r="L100" s="6">
        <v>0</v>
      </c>
      <c r="M100" s="6">
        <v>0</v>
      </c>
      <c r="N100" s="6">
        <v>2408828</v>
      </c>
    </row>
    <row r="101" spans="1:14" x14ac:dyDescent="0.2">
      <c r="A101" s="4" t="s">
        <v>14</v>
      </c>
      <c r="B101" s="4" t="s">
        <v>328</v>
      </c>
      <c r="C101" s="4">
        <v>95</v>
      </c>
      <c r="D101" s="5">
        <v>45817</v>
      </c>
      <c r="E101" s="4">
        <v>901907732</v>
      </c>
      <c r="F101" s="4" t="s">
        <v>16</v>
      </c>
      <c r="G101" s="4">
        <v>900983772</v>
      </c>
      <c r="H101" s="4" t="s">
        <v>110</v>
      </c>
      <c r="I101" s="6">
        <f t="shared" si="1"/>
        <v>380000</v>
      </c>
      <c r="J101" s="6">
        <v>72200</v>
      </c>
      <c r="K101" s="6">
        <v>0</v>
      </c>
      <c r="L101" s="6">
        <v>0</v>
      </c>
      <c r="M101" s="6">
        <v>0</v>
      </c>
      <c r="N101" s="6">
        <v>452200</v>
      </c>
    </row>
    <row r="102" spans="1:14" x14ac:dyDescent="0.2">
      <c r="A102" s="4" t="s">
        <v>14</v>
      </c>
      <c r="B102" s="4" t="s">
        <v>329</v>
      </c>
      <c r="C102" s="4">
        <v>96</v>
      </c>
      <c r="D102" s="5">
        <v>45817</v>
      </c>
      <c r="E102" s="4">
        <v>901907732</v>
      </c>
      <c r="F102" s="4" t="s">
        <v>16</v>
      </c>
      <c r="G102" s="4">
        <v>21993269</v>
      </c>
      <c r="H102" s="4" t="s">
        <v>65</v>
      </c>
      <c r="I102" s="6">
        <f t="shared" si="1"/>
        <v>1000000</v>
      </c>
      <c r="J102" s="6">
        <v>0</v>
      </c>
      <c r="K102" s="6">
        <v>0</v>
      </c>
      <c r="L102" s="6">
        <v>0</v>
      </c>
      <c r="M102" s="6">
        <v>0</v>
      </c>
      <c r="N102" s="6">
        <v>1000000</v>
      </c>
    </row>
    <row r="103" spans="1:14" x14ac:dyDescent="0.2">
      <c r="A103" s="4" t="s">
        <v>14</v>
      </c>
      <c r="B103" s="4" t="s">
        <v>326</v>
      </c>
      <c r="C103" s="4">
        <v>97</v>
      </c>
      <c r="D103" s="5">
        <v>45820</v>
      </c>
      <c r="E103" s="4">
        <v>901907732</v>
      </c>
      <c r="F103" s="4" t="s">
        <v>16</v>
      </c>
      <c r="G103" s="4">
        <v>811044610</v>
      </c>
      <c r="H103" s="4" t="s">
        <v>54</v>
      </c>
      <c r="I103" s="6">
        <f t="shared" si="1"/>
        <v>1894000</v>
      </c>
      <c r="J103" s="6">
        <v>179360</v>
      </c>
      <c r="K103" s="6">
        <v>0</v>
      </c>
      <c r="L103" s="6">
        <v>0</v>
      </c>
      <c r="M103" s="6">
        <v>0</v>
      </c>
      <c r="N103" s="6">
        <v>2073360</v>
      </c>
    </row>
    <row r="104" spans="1:14" x14ac:dyDescent="0.2">
      <c r="A104" s="4" t="s">
        <v>14</v>
      </c>
      <c r="B104" s="4" t="s">
        <v>323</v>
      </c>
      <c r="C104" s="4">
        <v>98</v>
      </c>
      <c r="D104" s="5">
        <v>45820</v>
      </c>
      <c r="E104" s="4">
        <v>901907732</v>
      </c>
      <c r="F104" s="4" t="s">
        <v>16</v>
      </c>
      <c r="G104" s="4">
        <v>811044610</v>
      </c>
      <c r="H104" s="4" t="s">
        <v>54</v>
      </c>
      <c r="I104" s="6">
        <f t="shared" si="1"/>
        <v>35294.120000000003</v>
      </c>
      <c r="J104" s="6">
        <v>6705.88</v>
      </c>
      <c r="K104" s="6">
        <v>0</v>
      </c>
      <c r="L104" s="6">
        <v>0</v>
      </c>
      <c r="M104" s="6">
        <v>0</v>
      </c>
      <c r="N104" s="6">
        <v>42000</v>
      </c>
    </row>
    <row r="105" spans="1:14" x14ac:dyDescent="0.2">
      <c r="A105" s="4" t="s">
        <v>14</v>
      </c>
      <c r="B105" s="4" t="s">
        <v>327</v>
      </c>
      <c r="C105" s="4">
        <v>99</v>
      </c>
      <c r="D105" s="5">
        <v>45820</v>
      </c>
      <c r="E105" s="4">
        <v>901907732</v>
      </c>
      <c r="F105" s="4" t="s">
        <v>16</v>
      </c>
      <c r="G105" s="4">
        <v>900643097</v>
      </c>
      <c r="H105" s="4" t="s">
        <v>36</v>
      </c>
      <c r="I105" s="6">
        <f t="shared" si="1"/>
        <v>5834058.8200000003</v>
      </c>
      <c r="J105" s="6">
        <v>404141.18</v>
      </c>
      <c r="K105" s="6">
        <v>0</v>
      </c>
      <c r="L105" s="6">
        <v>0</v>
      </c>
      <c r="M105" s="6">
        <v>0</v>
      </c>
      <c r="N105" s="6">
        <v>6238200</v>
      </c>
    </row>
    <row r="106" spans="1:14" x14ac:dyDescent="0.2">
      <c r="A106" s="4" t="s">
        <v>14</v>
      </c>
      <c r="B106" s="4" t="s">
        <v>321</v>
      </c>
      <c r="C106" s="4">
        <v>100</v>
      </c>
      <c r="D106" s="5">
        <v>45825</v>
      </c>
      <c r="E106" s="4">
        <v>901907732</v>
      </c>
      <c r="F106" s="4" t="s">
        <v>16</v>
      </c>
      <c r="G106" s="4">
        <v>901931446</v>
      </c>
      <c r="H106" s="4" t="s">
        <v>322</v>
      </c>
      <c r="I106" s="6">
        <f t="shared" si="1"/>
        <v>681512.61</v>
      </c>
      <c r="J106" s="6">
        <v>53487.39</v>
      </c>
      <c r="K106" s="6">
        <v>0</v>
      </c>
      <c r="L106" s="6">
        <v>0</v>
      </c>
      <c r="M106" s="6">
        <v>0</v>
      </c>
      <c r="N106" s="6">
        <v>735000</v>
      </c>
    </row>
    <row r="107" spans="1:14" x14ac:dyDescent="0.2">
      <c r="A107" s="4" t="s">
        <v>14</v>
      </c>
      <c r="B107" s="4" t="s">
        <v>319</v>
      </c>
      <c r="C107" s="4">
        <v>101</v>
      </c>
      <c r="D107" s="5">
        <v>45825</v>
      </c>
      <c r="E107" s="4">
        <v>901907732</v>
      </c>
      <c r="F107" s="4" t="s">
        <v>16</v>
      </c>
      <c r="G107" s="4">
        <v>890935751</v>
      </c>
      <c r="H107" s="4" t="s">
        <v>320</v>
      </c>
      <c r="I107" s="6">
        <f t="shared" si="1"/>
        <v>620000</v>
      </c>
      <c r="J107" s="6">
        <v>0</v>
      </c>
      <c r="K107" s="6">
        <v>0</v>
      </c>
      <c r="L107" s="6">
        <v>0</v>
      </c>
      <c r="M107" s="6">
        <v>0</v>
      </c>
      <c r="N107" s="6">
        <v>620000</v>
      </c>
    </row>
    <row r="108" spans="1:14" x14ac:dyDescent="0.2">
      <c r="A108" s="4" t="s">
        <v>14</v>
      </c>
      <c r="B108" s="4" t="s">
        <v>318</v>
      </c>
      <c r="C108" s="4">
        <v>102</v>
      </c>
      <c r="D108" s="5">
        <v>45827</v>
      </c>
      <c r="E108" s="4">
        <v>901907732</v>
      </c>
      <c r="F108" s="4" t="s">
        <v>16</v>
      </c>
      <c r="G108" s="4">
        <v>860022343</v>
      </c>
      <c r="H108" s="4" t="s">
        <v>21</v>
      </c>
      <c r="I108" s="6">
        <f t="shared" si="1"/>
        <v>242400</v>
      </c>
      <c r="J108" s="6">
        <v>46056</v>
      </c>
      <c r="K108" s="6">
        <v>0</v>
      </c>
      <c r="L108" s="6">
        <v>0</v>
      </c>
      <c r="M108" s="6">
        <v>0</v>
      </c>
      <c r="N108" s="6">
        <v>288456</v>
      </c>
    </row>
    <row r="109" spans="1:14" x14ac:dyDescent="0.2">
      <c r="A109" s="4" t="s">
        <v>14</v>
      </c>
      <c r="B109" s="4" t="s">
        <v>317</v>
      </c>
      <c r="C109" s="4">
        <v>103</v>
      </c>
      <c r="D109" s="5">
        <v>45827</v>
      </c>
      <c r="E109" s="4">
        <v>901907732</v>
      </c>
      <c r="F109" s="4" t="s">
        <v>16</v>
      </c>
      <c r="G109" s="4">
        <v>860022343</v>
      </c>
      <c r="H109" s="4" t="s">
        <v>21</v>
      </c>
      <c r="I109" s="6">
        <f t="shared" si="1"/>
        <v>180000</v>
      </c>
      <c r="J109" s="6">
        <v>34200</v>
      </c>
      <c r="K109" s="6">
        <v>0</v>
      </c>
      <c r="L109" s="6">
        <v>0</v>
      </c>
      <c r="M109" s="6">
        <v>0</v>
      </c>
      <c r="N109" s="6">
        <v>214200</v>
      </c>
    </row>
    <row r="110" spans="1:14" x14ac:dyDescent="0.2">
      <c r="A110" s="4" t="s">
        <v>14</v>
      </c>
      <c r="B110" s="4" t="s">
        <v>316</v>
      </c>
      <c r="C110" s="4">
        <v>104</v>
      </c>
      <c r="D110" s="5">
        <v>45827</v>
      </c>
      <c r="E110" s="4">
        <v>901907732</v>
      </c>
      <c r="F110" s="4" t="s">
        <v>16</v>
      </c>
      <c r="G110" s="4">
        <v>811017918</v>
      </c>
      <c r="H110" s="4" t="s">
        <v>19</v>
      </c>
      <c r="I110" s="6">
        <f t="shared" si="1"/>
        <v>240000</v>
      </c>
      <c r="J110" s="6">
        <v>45600</v>
      </c>
      <c r="K110" s="6">
        <v>0</v>
      </c>
      <c r="L110" s="6">
        <v>0</v>
      </c>
      <c r="M110" s="6">
        <v>0</v>
      </c>
      <c r="N110" s="6">
        <v>285600</v>
      </c>
    </row>
    <row r="111" spans="1:14" x14ac:dyDescent="0.2">
      <c r="A111" s="4" t="s">
        <v>14</v>
      </c>
      <c r="B111" s="4" t="s">
        <v>314</v>
      </c>
      <c r="C111" s="4">
        <v>105</v>
      </c>
      <c r="D111" s="5">
        <v>45833</v>
      </c>
      <c r="E111" s="4">
        <v>901907732</v>
      </c>
      <c r="F111" s="4" t="s">
        <v>16</v>
      </c>
      <c r="G111" s="4">
        <v>811035110</v>
      </c>
      <c r="H111" s="4" t="s">
        <v>315</v>
      </c>
      <c r="I111" s="6">
        <f t="shared" si="1"/>
        <v>545000</v>
      </c>
      <c r="J111" s="6">
        <v>103550</v>
      </c>
      <c r="K111" s="6">
        <v>0</v>
      </c>
      <c r="L111" s="6">
        <v>0</v>
      </c>
      <c r="M111" s="6">
        <v>0</v>
      </c>
      <c r="N111" s="6">
        <v>648550</v>
      </c>
    </row>
    <row r="112" spans="1:14" x14ac:dyDescent="0.2">
      <c r="A112" s="4" t="s">
        <v>14</v>
      </c>
      <c r="B112" s="4" t="s">
        <v>296</v>
      </c>
      <c r="C112" s="4">
        <v>106</v>
      </c>
      <c r="D112" s="5">
        <v>45839</v>
      </c>
      <c r="E112" s="4">
        <v>901907732</v>
      </c>
      <c r="F112" s="4" t="s">
        <v>16</v>
      </c>
      <c r="G112" s="4">
        <v>901446911</v>
      </c>
      <c r="H112" s="4" t="s">
        <v>76</v>
      </c>
      <c r="I112" s="6">
        <f t="shared" si="1"/>
        <v>159000</v>
      </c>
      <c r="J112" s="6">
        <v>0</v>
      </c>
      <c r="K112" s="6">
        <v>0</v>
      </c>
      <c r="L112" s="6">
        <v>0</v>
      </c>
      <c r="M112" s="6">
        <v>0</v>
      </c>
      <c r="N112" s="6">
        <v>159000</v>
      </c>
    </row>
    <row r="113" spans="1:14" x14ac:dyDescent="0.2">
      <c r="A113" s="4" t="s">
        <v>14</v>
      </c>
      <c r="B113" s="4" t="s">
        <v>83</v>
      </c>
      <c r="C113" s="4">
        <v>107</v>
      </c>
      <c r="D113" s="5">
        <v>45839</v>
      </c>
      <c r="E113" s="4">
        <v>901907732</v>
      </c>
      <c r="F113" s="4" t="s">
        <v>16</v>
      </c>
      <c r="G113" s="4">
        <v>901495799</v>
      </c>
      <c r="H113" s="4" t="s">
        <v>17</v>
      </c>
      <c r="I113" s="6">
        <f t="shared" si="1"/>
        <v>2600000</v>
      </c>
      <c r="J113" s="6">
        <v>494000</v>
      </c>
      <c r="K113" s="6">
        <v>0</v>
      </c>
      <c r="L113" s="6">
        <v>0</v>
      </c>
      <c r="M113" s="6">
        <v>0</v>
      </c>
      <c r="N113" s="6">
        <v>3094000</v>
      </c>
    </row>
    <row r="114" spans="1:14" x14ac:dyDescent="0.2">
      <c r="A114" s="4" t="s">
        <v>14</v>
      </c>
      <c r="B114" s="4" t="s">
        <v>313</v>
      </c>
      <c r="C114" s="4">
        <v>108</v>
      </c>
      <c r="D114" s="5">
        <v>45839</v>
      </c>
      <c r="E114" s="4">
        <v>901907732</v>
      </c>
      <c r="F114" s="4" t="s">
        <v>16</v>
      </c>
      <c r="G114" s="4">
        <v>900643097</v>
      </c>
      <c r="H114" s="4" t="s">
        <v>36</v>
      </c>
      <c r="I114" s="6">
        <f t="shared" si="1"/>
        <v>2094250</v>
      </c>
      <c r="J114" s="6">
        <v>218500</v>
      </c>
      <c r="K114" s="6">
        <v>0</v>
      </c>
      <c r="L114" s="6">
        <v>0</v>
      </c>
      <c r="M114" s="6">
        <v>0</v>
      </c>
      <c r="N114" s="6">
        <v>2312750</v>
      </c>
    </row>
    <row r="115" spans="1:14" x14ac:dyDescent="0.2">
      <c r="A115" s="4" t="s">
        <v>14</v>
      </c>
      <c r="B115" s="4" t="s">
        <v>312</v>
      </c>
      <c r="C115" s="4">
        <v>109</v>
      </c>
      <c r="D115" s="5">
        <v>45839</v>
      </c>
      <c r="E115" s="4">
        <v>901907732</v>
      </c>
      <c r="F115" s="4" t="s">
        <v>16</v>
      </c>
      <c r="G115" s="4">
        <v>901428649</v>
      </c>
      <c r="H115" s="4" t="s">
        <v>72</v>
      </c>
      <c r="I115" s="6">
        <f t="shared" si="1"/>
        <v>903072</v>
      </c>
      <c r="J115" s="6">
        <v>0</v>
      </c>
      <c r="K115" s="6">
        <v>0</v>
      </c>
      <c r="L115" s="6">
        <v>0</v>
      </c>
      <c r="M115" s="6">
        <v>0</v>
      </c>
      <c r="N115" s="6">
        <v>903072</v>
      </c>
    </row>
    <row r="116" spans="1:14" x14ac:dyDescent="0.2">
      <c r="A116" s="4" t="s">
        <v>14</v>
      </c>
      <c r="B116" s="4" t="s">
        <v>311</v>
      </c>
      <c r="C116" s="4">
        <v>110</v>
      </c>
      <c r="D116" s="5">
        <v>45839</v>
      </c>
      <c r="E116" s="4">
        <v>901907732</v>
      </c>
      <c r="F116" s="4" t="s">
        <v>16</v>
      </c>
      <c r="G116" s="4">
        <v>901105552</v>
      </c>
      <c r="H116" s="4" t="s">
        <v>69</v>
      </c>
      <c r="I116" s="6">
        <f t="shared" si="1"/>
        <v>5823680</v>
      </c>
      <c r="J116" s="6">
        <v>0</v>
      </c>
      <c r="K116" s="6">
        <v>0</v>
      </c>
      <c r="L116" s="6">
        <v>0</v>
      </c>
      <c r="M116" s="6">
        <v>0</v>
      </c>
      <c r="N116" s="6">
        <v>5823680</v>
      </c>
    </row>
    <row r="117" spans="1:14" x14ac:dyDescent="0.2">
      <c r="A117" s="4" t="s">
        <v>14</v>
      </c>
      <c r="B117" s="4" t="s">
        <v>310</v>
      </c>
      <c r="C117" s="4">
        <v>111</v>
      </c>
      <c r="D117" s="5">
        <v>45839</v>
      </c>
      <c r="E117" s="4">
        <v>901907732</v>
      </c>
      <c r="F117" s="4" t="s">
        <v>16</v>
      </c>
      <c r="G117" s="4">
        <v>901105552</v>
      </c>
      <c r="H117" s="4" t="s">
        <v>69</v>
      </c>
      <c r="I117" s="6">
        <f t="shared" si="1"/>
        <v>1928563</v>
      </c>
      <c r="J117" s="6">
        <v>0</v>
      </c>
      <c r="K117" s="6">
        <v>0</v>
      </c>
      <c r="L117" s="6">
        <v>0</v>
      </c>
      <c r="M117" s="6">
        <v>0</v>
      </c>
      <c r="N117" s="6">
        <v>1928563</v>
      </c>
    </row>
    <row r="118" spans="1:14" x14ac:dyDescent="0.2">
      <c r="A118" s="4" t="s">
        <v>14</v>
      </c>
      <c r="B118" s="4" t="s">
        <v>309</v>
      </c>
      <c r="C118" s="4">
        <v>112</v>
      </c>
      <c r="D118" s="5">
        <v>45839</v>
      </c>
      <c r="E118" s="4">
        <v>901907732</v>
      </c>
      <c r="F118" s="4" t="s">
        <v>16</v>
      </c>
      <c r="G118" s="4">
        <v>900208742</v>
      </c>
      <c r="H118" s="4" t="s">
        <v>67</v>
      </c>
      <c r="I118" s="6">
        <f t="shared" si="1"/>
        <v>200000</v>
      </c>
      <c r="J118" s="6">
        <v>0</v>
      </c>
      <c r="K118" s="6">
        <v>0</v>
      </c>
      <c r="L118" s="6">
        <v>0</v>
      </c>
      <c r="M118" s="6">
        <v>0</v>
      </c>
      <c r="N118" s="6">
        <v>200000</v>
      </c>
    </row>
    <row r="119" spans="1:14" x14ac:dyDescent="0.2">
      <c r="A119" s="4" t="s">
        <v>14</v>
      </c>
      <c r="B119" s="4" t="s">
        <v>308</v>
      </c>
      <c r="C119" s="4">
        <v>113</v>
      </c>
      <c r="D119" s="5">
        <v>45839</v>
      </c>
      <c r="E119" s="4">
        <v>901907732</v>
      </c>
      <c r="F119" s="4" t="s">
        <v>16</v>
      </c>
      <c r="G119" s="4">
        <v>811000784</v>
      </c>
      <c r="H119" s="4" t="s">
        <v>33</v>
      </c>
      <c r="I119" s="6">
        <f t="shared" si="1"/>
        <v>1729962</v>
      </c>
      <c r="J119" s="6">
        <v>0</v>
      </c>
      <c r="K119" s="6">
        <v>0</v>
      </c>
      <c r="L119" s="6">
        <v>0</v>
      </c>
      <c r="M119" s="6">
        <v>0</v>
      </c>
      <c r="N119" s="6">
        <v>1729962</v>
      </c>
    </row>
    <row r="120" spans="1:14" x14ac:dyDescent="0.2">
      <c r="A120" s="4" t="s">
        <v>14</v>
      </c>
      <c r="B120" s="4" t="s">
        <v>307</v>
      </c>
      <c r="C120" s="4">
        <v>114</v>
      </c>
      <c r="D120" s="5">
        <v>45839</v>
      </c>
      <c r="E120" s="4">
        <v>901907732</v>
      </c>
      <c r="F120" s="4" t="s">
        <v>16</v>
      </c>
      <c r="G120" s="4">
        <v>811000784</v>
      </c>
      <c r="H120" s="4" t="s">
        <v>33</v>
      </c>
      <c r="I120" s="6">
        <f t="shared" si="1"/>
        <v>2105000</v>
      </c>
      <c r="J120" s="6">
        <v>399950</v>
      </c>
      <c r="K120" s="6">
        <v>0</v>
      </c>
      <c r="L120" s="6">
        <v>0</v>
      </c>
      <c r="M120" s="6">
        <v>0</v>
      </c>
      <c r="N120" s="6">
        <v>2504950</v>
      </c>
    </row>
    <row r="121" spans="1:14" x14ac:dyDescent="0.2">
      <c r="A121" s="4" t="s">
        <v>14</v>
      </c>
      <c r="B121" s="4" t="s">
        <v>306</v>
      </c>
      <c r="C121" s="4">
        <v>115</v>
      </c>
      <c r="D121" s="5">
        <v>45839</v>
      </c>
      <c r="E121" s="4">
        <v>901907732</v>
      </c>
      <c r="F121" s="4" t="s">
        <v>16</v>
      </c>
      <c r="G121" s="4">
        <v>860022343</v>
      </c>
      <c r="H121" s="4" t="s">
        <v>21</v>
      </c>
      <c r="I121" s="6">
        <f t="shared" si="1"/>
        <v>1950000</v>
      </c>
      <c r="J121" s="6">
        <v>370500</v>
      </c>
      <c r="K121" s="6">
        <v>0</v>
      </c>
      <c r="L121" s="6">
        <v>0</v>
      </c>
      <c r="M121" s="6">
        <v>0</v>
      </c>
      <c r="N121" s="6">
        <v>2320500</v>
      </c>
    </row>
    <row r="122" spans="1:14" x14ac:dyDescent="0.2">
      <c r="A122" s="4" t="s">
        <v>14</v>
      </c>
      <c r="B122" s="4" t="s">
        <v>305</v>
      </c>
      <c r="C122" s="4">
        <v>116</v>
      </c>
      <c r="D122" s="5">
        <v>45839</v>
      </c>
      <c r="E122" s="4">
        <v>901907732</v>
      </c>
      <c r="F122" s="4" t="s">
        <v>16</v>
      </c>
      <c r="G122" s="4">
        <v>901193232</v>
      </c>
      <c r="H122" s="4" t="s">
        <v>62</v>
      </c>
      <c r="I122" s="6">
        <f t="shared" si="1"/>
        <v>192485</v>
      </c>
      <c r="J122" s="6">
        <v>0</v>
      </c>
      <c r="K122" s="6">
        <v>0</v>
      </c>
      <c r="L122" s="6">
        <v>0</v>
      </c>
      <c r="M122" s="6">
        <v>0</v>
      </c>
      <c r="N122" s="6">
        <v>192485</v>
      </c>
    </row>
    <row r="123" spans="1:14" x14ac:dyDescent="0.2">
      <c r="A123" s="4" t="s">
        <v>14</v>
      </c>
      <c r="B123" s="4" t="s">
        <v>304</v>
      </c>
      <c r="C123" s="4">
        <v>117</v>
      </c>
      <c r="D123" s="5">
        <v>45839</v>
      </c>
      <c r="E123" s="4">
        <v>901907732</v>
      </c>
      <c r="F123" s="4" t="s">
        <v>16</v>
      </c>
      <c r="G123" s="4">
        <v>901225179</v>
      </c>
      <c r="H123" s="4" t="s">
        <v>126</v>
      </c>
      <c r="I123" s="6">
        <f t="shared" si="1"/>
        <v>868854</v>
      </c>
      <c r="J123" s="6">
        <v>0</v>
      </c>
      <c r="K123" s="6">
        <v>0</v>
      </c>
      <c r="L123" s="6">
        <v>0</v>
      </c>
      <c r="M123" s="6">
        <v>0</v>
      </c>
      <c r="N123" s="6">
        <v>868854</v>
      </c>
    </row>
    <row r="124" spans="1:14" x14ac:dyDescent="0.2">
      <c r="A124" s="4" t="s">
        <v>14</v>
      </c>
      <c r="B124" s="4" t="s">
        <v>303</v>
      </c>
      <c r="C124" s="4">
        <v>118</v>
      </c>
      <c r="D124" s="5">
        <v>45839</v>
      </c>
      <c r="E124" s="4">
        <v>901907732</v>
      </c>
      <c r="F124" s="4" t="s">
        <v>16</v>
      </c>
      <c r="G124" s="4">
        <v>900383497</v>
      </c>
      <c r="H124" s="4" t="s">
        <v>60</v>
      </c>
      <c r="I124" s="6">
        <f t="shared" si="1"/>
        <v>432627</v>
      </c>
      <c r="J124" s="6">
        <v>0</v>
      </c>
      <c r="K124" s="6">
        <v>0</v>
      </c>
      <c r="L124" s="6">
        <v>0</v>
      </c>
      <c r="M124" s="6">
        <v>0</v>
      </c>
      <c r="N124" s="6">
        <v>432627</v>
      </c>
    </row>
    <row r="125" spans="1:14" x14ac:dyDescent="0.2">
      <c r="A125" s="4" t="s">
        <v>14</v>
      </c>
      <c r="B125" s="4" t="s">
        <v>290</v>
      </c>
      <c r="C125" s="4">
        <v>119</v>
      </c>
      <c r="D125" s="5">
        <v>45839</v>
      </c>
      <c r="E125" s="4">
        <v>901907732</v>
      </c>
      <c r="F125" s="4" t="s">
        <v>16</v>
      </c>
      <c r="G125" s="4">
        <v>901884325</v>
      </c>
      <c r="H125" s="4" t="s">
        <v>289</v>
      </c>
      <c r="I125" s="6">
        <f t="shared" si="1"/>
        <v>476575.00000000006</v>
      </c>
      <c r="J125" s="6">
        <v>61972.68</v>
      </c>
      <c r="K125" s="6">
        <v>0</v>
      </c>
      <c r="L125" s="6">
        <v>0</v>
      </c>
      <c r="M125" s="6">
        <v>0</v>
      </c>
      <c r="N125" s="6">
        <v>538547.68000000005</v>
      </c>
    </row>
    <row r="126" spans="1:14" x14ac:dyDescent="0.2">
      <c r="A126" s="4" t="s">
        <v>14</v>
      </c>
      <c r="B126" s="4" t="s">
        <v>297</v>
      </c>
      <c r="C126" s="4">
        <v>120</v>
      </c>
      <c r="D126" s="5">
        <v>45839</v>
      </c>
      <c r="E126" s="4">
        <v>901907732</v>
      </c>
      <c r="F126" s="4" t="s">
        <v>16</v>
      </c>
      <c r="G126" s="4">
        <v>830087371</v>
      </c>
      <c r="H126" s="4" t="s">
        <v>162</v>
      </c>
      <c r="I126" s="6">
        <f t="shared" si="1"/>
        <v>1298166</v>
      </c>
      <c r="J126" s="6">
        <v>0</v>
      </c>
      <c r="K126" s="6">
        <v>0</v>
      </c>
      <c r="L126" s="6">
        <v>0</v>
      </c>
      <c r="M126" s="6">
        <v>0</v>
      </c>
      <c r="N126" s="6">
        <v>1298166</v>
      </c>
    </row>
    <row r="127" spans="1:14" x14ac:dyDescent="0.2">
      <c r="A127" s="4" t="s">
        <v>14</v>
      </c>
      <c r="B127" s="4" t="s">
        <v>302</v>
      </c>
      <c r="C127" s="4">
        <v>121</v>
      </c>
      <c r="D127" s="5">
        <v>45839</v>
      </c>
      <c r="E127" s="4">
        <v>901907732</v>
      </c>
      <c r="F127" s="4" t="s">
        <v>16</v>
      </c>
      <c r="G127" s="4">
        <v>811044610</v>
      </c>
      <c r="H127" s="4" t="s">
        <v>54</v>
      </c>
      <c r="I127" s="6">
        <f t="shared" si="1"/>
        <v>654500</v>
      </c>
      <c r="J127" s="6">
        <v>124355</v>
      </c>
      <c r="K127" s="6">
        <v>0</v>
      </c>
      <c r="L127" s="6">
        <v>0</v>
      </c>
      <c r="M127" s="6">
        <v>0</v>
      </c>
      <c r="N127" s="6">
        <v>778855</v>
      </c>
    </row>
    <row r="128" spans="1:14" x14ac:dyDescent="0.2">
      <c r="A128" s="4" t="s">
        <v>14</v>
      </c>
      <c r="B128" s="4" t="s">
        <v>291</v>
      </c>
      <c r="C128" s="4">
        <v>122</v>
      </c>
      <c r="D128" s="5">
        <v>45839</v>
      </c>
      <c r="E128" s="4">
        <v>901907732</v>
      </c>
      <c r="F128" s="4" t="s">
        <v>16</v>
      </c>
      <c r="G128" s="4">
        <v>811026805</v>
      </c>
      <c r="H128" s="4" t="s">
        <v>52</v>
      </c>
      <c r="I128" s="6">
        <f t="shared" si="1"/>
        <v>550000</v>
      </c>
      <c r="J128" s="6">
        <v>104500</v>
      </c>
      <c r="K128" s="6">
        <v>0</v>
      </c>
      <c r="L128" s="6">
        <v>0</v>
      </c>
      <c r="M128" s="6">
        <v>0</v>
      </c>
      <c r="N128" s="6">
        <v>654500</v>
      </c>
    </row>
    <row r="129" spans="1:14" x14ac:dyDescent="0.2">
      <c r="A129" s="4" t="s">
        <v>14</v>
      </c>
      <c r="B129" s="4" t="s">
        <v>301</v>
      </c>
      <c r="C129" s="4">
        <v>123</v>
      </c>
      <c r="D129" s="5">
        <v>45839</v>
      </c>
      <c r="E129" s="4">
        <v>901907732</v>
      </c>
      <c r="F129" s="4" t="s">
        <v>16</v>
      </c>
      <c r="G129" s="4">
        <v>900688446</v>
      </c>
      <c r="H129" s="4" t="s">
        <v>47</v>
      </c>
      <c r="I129" s="6">
        <f t="shared" si="1"/>
        <v>2085282</v>
      </c>
      <c r="J129" s="6">
        <v>171000</v>
      </c>
      <c r="K129" s="6">
        <v>0</v>
      </c>
      <c r="L129" s="6">
        <v>0</v>
      </c>
      <c r="M129" s="6">
        <v>0</v>
      </c>
      <c r="N129" s="6">
        <v>2256282</v>
      </c>
    </row>
    <row r="130" spans="1:14" x14ac:dyDescent="0.2">
      <c r="A130" s="4" t="s">
        <v>14</v>
      </c>
      <c r="B130" s="4" t="s">
        <v>298</v>
      </c>
      <c r="C130" s="4">
        <v>124</v>
      </c>
      <c r="D130" s="5">
        <v>45839</v>
      </c>
      <c r="E130" s="4">
        <v>901907732</v>
      </c>
      <c r="F130" s="4" t="s">
        <v>16</v>
      </c>
      <c r="G130" s="4">
        <v>811017918</v>
      </c>
      <c r="H130" s="4" t="s">
        <v>19</v>
      </c>
      <c r="I130" s="6">
        <f t="shared" ref="I130:I193" si="2">+N130-M130-L130-K130-J130</f>
        <v>900000</v>
      </c>
      <c r="J130" s="6">
        <v>171000</v>
      </c>
      <c r="K130" s="6">
        <v>0</v>
      </c>
      <c r="L130" s="6">
        <v>0</v>
      </c>
      <c r="M130" s="6">
        <v>0</v>
      </c>
      <c r="N130" s="6">
        <v>1071000</v>
      </c>
    </row>
    <row r="131" spans="1:14" x14ac:dyDescent="0.2">
      <c r="A131" s="4" t="s">
        <v>14</v>
      </c>
      <c r="B131" s="4" t="s">
        <v>299</v>
      </c>
      <c r="C131" s="4">
        <v>125</v>
      </c>
      <c r="D131" s="5">
        <v>45841</v>
      </c>
      <c r="E131" s="4">
        <v>901907732</v>
      </c>
      <c r="F131" s="4" t="s">
        <v>16</v>
      </c>
      <c r="G131" s="4">
        <v>901586731</v>
      </c>
      <c r="H131" s="4" t="s">
        <v>300</v>
      </c>
      <c r="I131" s="6">
        <f t="shared" si="2"/>
        <v>2690000</v>
      </c>
      <c r="J131" s="6">
        <v>0</v>
      </c>
      <c r="K131" s="6">
        <v>0</v>
      </c>
      <c r="L131" s="6">
        <v>0</v>
      </c>
      <c r="M131" s="6">
        <v>0</v>
      </c>
      <c r="N131" s="6">
        <v>2690000</v>
      </c>
    </row>
    <row r="132" spans="1:14" x14ac:dyDescent="0.2">
      <c r="A132" s="4" t="s">
        <v>14</v>
      </c>
      <c r="B132" s="4" t="s">
        <v>209</v>
      </c>
      <c r="C132" s="4">
        <v>126</v>
      </c>
      <c r="D132" s="5">
        <v>45849</v>
      </c>
      <c r="E132" s="4">
        <v>901907732</v>
      </c>
      <c r="F132" s="4" t="s">
        <v>16</v>
      </c>
      <c r="G132" s="4">
        <v>901774691</v>
      </c>
      <c r="H132" s="4" t="s">
        <v>58</v>
      </c>
      <c r="I132" s="6">
        <f t="shared" si="2"/>
        <v>1492528</v>
      </c>
      <c r="J132" s="6">
        <v>0</v>
      </c>
      <c r="K132" s="6">
        <v>0</v>
      </c>
      <c r="L132" s="6">
        <v>0</v>
      </c>
      <c r="M132" s="6">
        <v>0</v>
      </c>
      <c r="N132" s="6">
        <v>1492528</v>
      </c>
    </row>
    <row r="133" spans="1:14" x14ac:dyDescent="0.2">
      <c r="A133" s="4" t="s">
        <v>14</v>
      </c>
      <c r="B133" s="4" t="s">
        <v>210</v>
      </c>
      <c r="C133" s="4">
        <v>127</v>
      </c>
      <c r="D133" s="5">
        <v>45849</v>
      </c>
      <c r="E133" s="4">
        <v>901907732</v>
      </c>
      <c r="F133" s="4" t="s">
        <v>16</v>
      </c>
      <c r="G133" s="4">
        <v>901774691</v>
      </c>
      <c r="H133" s="4" t="s">
        <v>58</v>
      </c>
      <c r="I133" s="6">
        <f t="shared" si="2"/>
        <v>311417</v>
      </c>
      <c r="J133" s="6">
        <v>0</v>
      </c>
      <c r="K133" s="6">
        <v>0</v>
      </c>
      <c r="L133" s="6">
        <v>0</v>
      </c>
      <c r="M133" s="6">
        <v>0</v>
      </c>
      <c r="N133" s="6">
        <v>311417</v>
      </c>
    </row>
    <row r="134" spans="1:14" x14ac:dyDescent="0.2">
      <c r="A134" s="4" t="s">
        <v>14</v>
      </c>
      <c r="B134" s="4" t="s">
        <v>276</v>
      </c>
      <c r="C134" s="4">
        <v>128</v>
      </c>
      <c r="D134" s="5">
        <v>45855</v>
      </c>
      <c r="E134" s="4">
        <v>901907732</v>
      </c>
      <c r="F134" s="4" t="s">
        <v>16</v>
      </c>
      <c r="G134" s="4">
        <v>900983772</v>
      </c>
      <c r="H134" s="4" t="s">
        <v>110</v>
      </c>
      <c r="I134" s="6">
        <f t="shared" si="2"/>
        <v>210000</v>
      </c>
      <c r="J134" s="6">
        <v>39900</v>
      </c>
      <c r="K134" s="6">
        <v>0</v>
      </c>
      <c r="L134" s="6">
        <v>0</v>
      </c>
      <c r="M134" s="6">
        <v>0</v>
      </c>
      <c r="N134" s="6">
        <v>249900</v>
      </c>
    </row>
    <row r="135" spans="1:14" x14ac:dyDescent="0.2">
      <c r="A135" s="4" t="s">
        <v>14</v>
      </c>
      <c r="B135" s="4" t="s">
        <v>283</v>
      </c>
      <c r="C135" s="4">
        <v>129</v>
      </c>
      <c r="D135" s="5">
        <v>45855</v>
      </c>
      <c r="E135" s="4">
        <v>901907732</v>
      </c>
      <c r="F135" s="4" t="s">
        <v>16</v>
      </c>
      <c r="G135" s="4">
        <v>900825963</v>
      </c>
      <c r="H135" s="4" t="s">
        <v>138</v>
      </c>
      <c r="I135" s="6">
        <f t="shared" si="2"/>
        <v>588919</v>
      </c>
      <c r="J135" s="6">
        <v>0</v>
      </c>
      <c r="K135" s="6">
        <v>0</v>
      </c>
      <c r="L135" s="6">
        <v>0</v>
      </c>
      <c r="M135" s="6">
        <v>0</v>
      </c>
      <c r="N135" s="6">
        <v>588919</v>
      </c>
    </row>
    <row r="136" spans="1:14" x14ac:dyDescent="0.2">
      <c r="A136" s="4" t="s">
        <v>14</v>
      </c>
      <c r="B136" s="4" t="s">
        <v>284</v>
      </c>
      <c r="C136" s="4">
        <v>130</v>
      </c>
      <c r="D136" s="5">
        <v>45856</v>
      </c>
      <c r="E136" s="4">
        <v>901907732</v>
      </c>
      <c r="F136" s="4" t="s">
        <v>16</v>
      </c>
      <c r="G136" s="4">
        <v>21993269</v>
      </c>
      <c r="H136" s="4" t="s">
        <v>65</v>
      </c>
      <c r="I136" s="6">
        <f t="shared" si="2"/>
        <v>1120000</v>
      </c>
      <c r="J136" s="6">
        <v>0</v>
      </c>
      <c r="K136" s="6">
        <v>0</v>
      </c>
      <c r="L136" s="6">
        <v>0</v>
      </c>
      <c r="M136" s="6">
        <v>0</v>
      </c>
      <c r="N136" s="6">
        <v>1120000</v>
      </c>
    </row>
    <row r="137" spans="1:14" x14ac:dyDescent="0.2">
      <c r="A137" s="4" t="s">
        <v>14</v>
      </c>
      <c r="B137" s="4" t="s">
        <v>280</v>
      </c>
      <c r="C137" s="4">
        <v>131</v>
      </c>
      <c r="D137" s="5">
        <v>45856</v>
      </c>
      <c r="E137" s="4">
        <v>901907732</v>
      </c>
      <c r="F137" s="4" t="s">
        <v>16</v>
      </c>
      <c r="G137" s="4">
        <v>900825963</v>
      </c>
      <c r="H137" s="4" t="s">
        <v>138</v>
      </c>
      <c r="I137" s="6">
        <f t="shared" si="2"/>
        <v>338919</v>
      </c>
      <c r="J137" s="6">
        <v>23750</v>
      </c>
      <c r="K137" s="6">
        <v>0</v>
      </c>
      <c r="L137" s="6">
        <v>0</v>
      </c>
      <c r="M137" s="6">
        <v>0</v>
      </c>
      <c r="N137" s="6">
        <v>362669</v>
      </c>
    </row>
    <row r="138" spans="1:14" x14ac:dyDescent="0.2">
      <c r="A138" s="4" t="s">
        <v>14</v>
      </c>
      <c r="B138" s="4" t="s">
        <v>277</v>
      </c>
      <c r="C138" s="4">
        <v>132</v>
      </c>
      <c r="D138" s="5">
        <v>45856</v>
      </c>
      <c r="E138" s="4">
        <v>901907732</v>
      </c>
      <c r="F138" s="4" t="s">
        <v>16</v>
      </c>
      <c r="G138" s="4">
        <v>900825963</v>
      </c>
      <c r="H138" s="4" t="s">
        <v>138</v>
      </c>
      <c r="I138" s="6">
        <f t="shared" si="2"/>
        <v>297988</v>
      </c>
      <c r="J138" s="6">
        <v>23750</v>
      </c>
      <c r="K138" s="6">
        <v>0</v>
      </c>
      <c r="L138" s="6">
        <v>0</v>
      </c>
      <c r="M138" s="6">
        <v>0</v>
      </c>
      <c r="N138" s="6">
        <v>321738</v>
      </c>
    </row>
    <row r="139" spans="1:14" x14ac:dyDescent="0.2">
      <c r="A139" s="4" t="s">
        <v>14</v>
      </c>
      <c r="B139" s="4" t="s">
        <v>268</v>
      </c>
      <c r="C139" s="4">
        <v>133</v>
      </c>
      <c r="D139" s="5">
        <v>45860</v>
      </c>
      <c r="E139" s="4">
        <v>901907732</v>
      </c>
      <c r="F139" s="4" t="s">
        <v>16</v>
      </c>
      <c r="G139" s="4">
        <v>860022343</v>
      </c>
      <c r="H139" s="4" t="s">
        <v>21</v>
      </c>
      <c r="I139" s="6">
        <f t="shared" si="2"/>
        <v>255000</v>
      </c>
      <c r="J139" s="6">
        <v>48450</v>
      </c>
      <c r="K139" s="6">
        <v>0</v>
      </c>
      <c r="L139" s="6">
        <v>0</v>
      </c>
      <c r="M139" s="6">
        <v>0</v>
      </c>
      <c r="N139" s="6">
        <v>303450</v>
      </c>
    </row>
    <row r="140" spans="1:14" x14ac:dyDescent="0.2">
      <c r="A140" s="4" t="s">
        <v>14</v>
      </c>
      <c r="B140" s="4" t="s">
        <v>267</v>
      </c>
      <c r="C140" s="4">
        <v>134</v>
      </c>
      <c r="D140" s="5">
        <v>45868</v>
      </c>
      <c r="E140" s="4">
        <v>901907732</v>
      </c>
      <c r="F140" s="4" t="s">
        <v>16</v>
      </c>
      <c r="G140" s="4">
        <v>860022343</v>
      </c>
      <c r="H140" s="4" t="s">
        <v>21</v>
      </c>
      <c r="I140" s="6">
        <f t="shared" si="2"/>
        <v>417600</v>
      </c>
      <c r="J140" s="6">
        <v>79344</v>
      </c>
      <c r="K140" s="6">
        <v>0</v>
      </c>
      <c r="L140" s="6">
        <v>0</v>
      </c>
      <c r="M140" s="6">
        <v>0</v>
      </c>
      <c r="N140" s="6">
        <v>496944</v>
      </c>
    </row>
    <row r="141" spans="1:14" x14ac:dyDescent="0.2">
      <c r="A141" s="4" t="s">
        <v>14</v>
      </c>
      <c r="B141" s="4" t="s">
        <v>266</v>
      </c>
      <c r="C141" s="4">
        <v>135</v>
      </c>
      <c r="D141" s="5">
        <v>45868</v>
      </c>
      <c r="E141" s="4">
        <v>901907732</v>
      </c>
      <c r="F141" s="4" t="s">
        <v>16</v>
      </c>
      <c r="G141" s="4">
        <v>860022343</v>
      </c>
      <c r="H141" s="4" t="s">
        <v>21</v>
      </c>
      <c r="I141" s="6">
        <f t="shared" si="2"/>
        <v>5643000</v>
      </c>
      <c r="J141" s="6">
        <v>518320</v>
      </c>
      <c r="K141" s="6">
        <v>0</v>
      </c>
      <c r="L141" s="6">
        <v>0</v>
      </c>
      <c r="M141" s="6">
        <v>0</v>
      </c>
      <c r="N141" s="6">
        <v>6161320</v>
      </c>
    </row>
    <row r="142" spans="1:14" x14ac:dyDescent="0.2">
      <c r="A142" s="4" t="s">
        <v>14</v>
      </c>
      <c r="B142" s="4" t="s">
        <v>236</v>
      </c>
      <c r="C142" s="4">
        <v>136</v>
      </c>
      <c r="D142" s="5">
        <v>45870</v>
      </c>
      <c r="E142" s="4">
        <v>901907732</v>
      </c>
      <c r="F142" s="4" t="s">
        <v>16</v>
      </c>
      <c r="G142" s="4">
        <v>901446911</v>
      </c>
      <c r="H142" s="4" t="s">
        <v>76</v>
      </c>
      <c r="I142" s="6">
        <f t="shared" si="2"/>
        <v>169326</v>
      </c>
      <c r="J142" s="6">
        <v>0</v>
      </c>
      <c r="K142" s="6">
        <v>0</v>
      </c>
      <c r="L142" s="6">
        <v>0</v>
      </c>
      <c r="M142" s="6">
        <v>0</v>
      </c>
      <c r="N142" s="6">
        <v>169326</v>
      </c>
    </row>
    <row r="143" spans="1:14" x14ac:dyDescent="0.2">
      <c r="A143" s="4" t="s">
        <v>14</v>
      </c>
      <c r="B143" s="4" t="s">
        <v>82</v>
      </c>
      <c r="C143" s="4">
        <v>137</v>
      </c>
      <c r="D143" s="5">
        <v>45870</v>
      </c>
      <c r="E143" s="4">
        <v>901907732</v>
      </c>
      <c r="F143" s="4" t="s">
        <v>16</v>
      </c>
      <c r="G143" s="4">
        <v>901495799</v>
      </c>
      <c r="H143" s="4" t="s">
        <v>17</v>
      </c>
      <c r="I143" s="6">
        <f t="shared" si="2"/>
        <v>2600000</v>
      </c>
      <c r="J143" s="6">
        <v>494000</v>
      </c>
      <c r="K143" s="6">
        <v>0</v>
      </c>
      <c r="L143" s="6">
        <v>0</v>
      </c>
      <c r="M143" s="6">
        <v>0</v>
      </c>
      <c r="N143" s="6">
        <v>3094000</v>
      </c>
    </row>
    <row r="144" spans="1:14" x14ac:dyDescent="0.2">
      <c r="A144" s="4" t="s">
        <v>14</v>
      </c>
      <c r="B144" s="4" t="s">
        <v>265</v>
      </c>
      <c r="C144" s="4">
        <v>138</v>
      </c>
      <c r="D144" s="5">
        <v>45870</v>
      </c>
      <c r="E144" s="4">
        <v>901907732</v>
      </c>
      <c r="F144" s="4" t="s">
        <v>16</v>
      </c>
      <c r="G144" s="4">
        <v>900643097</v>
      </c>
      <c r="H144" s="4" t="s">
        <v>36</v>
      </c>
      <c r="I144" s="6">
        <f t="shared" si="2"/>
        <v>3110206</v>
      </c>
      <c r="J144" s="6">
        <v>218500</v>
      </c>
      <c r="K144" s="6">
        <v>0</v>
      </c>
      <c r="L144" s="6">
        <v>0</v>
      </c>
      <c r="M144" s="6">
        <v>0</v>
      </c>
      <c r="N144" s="6">
        <v>3328706</v>
      </c>
    </row>
    <row r="145" spans="1:14" x14ac:dyDescent="0.2">
      <c r="A145" s="4" t="s">
        <v>14</v>
      </c>
      <c r="B145" s="4" t="s">
        <v>262</v>
      </c>
      <c r="C145" s="4">
        <v>139</v>
      </c>
      <c r="D145" s="5">
        <v>45870</v>
      </c>
      <c r="E145" s="4">
        <v>901907732</v>
      </c>
      <c r="F145" s="4" t="s">
        <v>16</v>
      </c>
      <c r="G145" s="4">
        <v>900643097</v>
      </c>
      <c r="H145" s="4" t="s">
        <v>36</v>
      </c>
      <c r="I145" s="6">
        <f t="shared" si="2"/>
        <v>2094250</v>
      </c>
      <c r="J145" s="6">
        <v>218500</v>
      </c>
      <c r="K145" s="6">
        <v>0</v>
      </c>
      <c r="L145" s="6">
        <v>0</v>
      </c>
      <c r="M145" s="6">
        <v>0</v>
      </c>
      <c r="N145" s="6">
        <v>2312750</v>
      </c>
    </row>
    <row r="146" spans="1:14" x14ac:dyDescent="0.2">
      <c r="A146" s="4" t="s">
        <v>14</v>
      </c>
      <c r="B146" s="4" t="s">
        <v>261</v>
      </c>
      <c r="C146" s="4">
        <v>140</v>
      </c>
      <c r="D146" s="5">
        <v>45870</v>
      </c>
      <c r="E146" s="4">
        <v>901907732</v>
      </c>
      <c r="F146" s="4" t="s">
        <v>16</v>
      </c>
      <c r="G146" s="4">
        <v>901428649</v>
      </c>
      <c r="H146" s="4" t="s">
        <v>72</v>
      </c>
      <c r="I146" s="6">
        <f t="shared" si="2"/>
        <v>915872</v>
      </c>
      <c r="J146" s="6">
        <v>0</v>
      </c>
      <c r="K146" s="6">
        <v>0</v>
      </c>
      <c r="L146" s="6">
        <v>0</v>
      </c>
      <c r="M146" s="6">
        <v>0</v>
      </c>
      <c r="N146" s="6">
        <v>915872</v>
      </c>
    </row>
    <row r="147" spans="1:14" x14ac:dyDescent="0.2">
      <c r="A147" s="4" t="s">
        <v>14</v>
      </c>
      <c r="B147" s="4" t="s">
        <v>260</v>
      </c>
      <c r="C147" s="4">
        <v>141</v>
      </c>
      <c r="D147" s="5">
        <v>45870</v>
      </c>
      <c r="E147" s="4">
        <v>901907732</v>
      </c>
      <c r="F147" s="4" t="s">
        <v>16</v>
      </c>
      <c r="G147" s="4">
        <v>901105552</v>
      </c>
      <c r="H147" s="4" t="s">
        <v>69</v>
      </c>
      <c r="I147" s="6">
        <f t="shared" si="2"/>
        <v>2135000</v>
      </c>
      <c r="J147" s="6">
        <v>0</v>
      </c>
      <c r="K147" s="6">
        <v>0</v>
      </c>
      <c r="L147" s="6">
        <v>0</v>
      </c>
      <c r="M147" s="6">
        <v>0</v>
      </c>
      <c r="N147" s="6">
        <v>2135000</v>
      </c>
    </row>
    <row r="148" spans="1:14" x14ac:dyDescent="0.2">
      <c r="A148" s="4" t="s">
        <v>14</v>
      </c>
      <c r="B148" s="4" t="s">
        <v>259</v>
      </c>
      <c r="C148" s="4">
        <v>142</v>
      </c>
      <c r="D148" s="5">
        <v>45870</v>
      </c>
      <c r="E148" s="4">
        <v>901907732</v>
      </c>
      <c r="F148" s="4" t="s">
        <v>16</v>
      </c>
      <c r="G148" s="4">
        <v>900208742</v>
      </c>
      <c r="H148" s="4" t="s">
        <v>67</v>
      </c>
      <c r="I148" s="6">
        <f t="shared" si="2"/>
        <v>200000</v>
      </c>
      <c r="J148" s="6">
        <v>0</v>
      </c>
      <c r="K148" s="6">
        <v>0</v>
      </c>
      <c r="L148" s="6">
        <v>0</v>
      </c>
      <c r="M148" s="6">
        <v>0</v>
      </c>
      <c r="N148" s="6">
        <v>200000</v>
      </c>
    </row>
    <row r="149" spans="1:14" x14ac:dyDescent="0.2">
      <c r="A149" s="4" t="s">
        <v>14</v>
      </c>
      <c r="B149" s="4" t="s">
        <v>258</v>
      </c>
      <c r="C149" s="4">
        <v>143</v>
      </c>
      <c r="D149" s="5">
        <v>45870</v>
      </c>
      <c r="E149" s="4">
        <v>901907732</v>
      </c>
      <c r="F149" s="4" t="s">
        <v>16</v>
      </c>
      <c r="G149" s="4">
        <v>901105552</v>
      </c>
      <c r="H149" s="4" t="s">
        <v>69</v>
      </c>
      <c r="I149" s="6">
        <f t="shared" si="2"/>
        <v>5930908</v>
      </c>
      <c r="J149" s="6">
        <v>0</v>
      </c>
      <c r="K149" s="6">
        <v>0</v>
      </c>
      <c r="L149" s="6">
        <v>0</v>
      </c>
      <c r="M149" s="6">
        <v>0</v>
      </c>
      <c r="N149" s="6">
        <v>5930908</v>
      </c>
    </row>
    <row r="150" spans="1:14" x14ac:dyDescent="0.2">
      <c r="A150" s="4" t="s">
        <v>14</v>
      </c>
      <c r="B150" s="4" t="s">
        <v>257</v>
      </c>
      <c r="C150" s="4">
        <v>144</v>
      </c>
      <c r="D150" s="5">
        <v>45870</v>
      </c>
      <c r="E150" s="4">
        <v>901907732</v>
      </c>
      <c r="F150" s="4" t="s">
        <v>16</v>
      </c>
      <c r="G150" s="4">
        <v>811000784</v>
      </c>
      <c r="H150" s="4" t="s">
        <v>33</v>
      </c>
      <c r="I150" s="6">
        <f t="shared" si="2"/>
        <v>1729962</v>
      </c>
      <c r="J150" s="6">
        <v>0</v>
      </c>
      <c r="K150" s="6">
        <v>0</v>
      </c>
      <c r="L150" s="6">
        <v>0</v>
      </c>
      <c r="M150" s="6">
        <v>0</v>
      </c>
      <c r="N150" s="6">
        <v>1729962</v>
      </c>
    </row>
    <row r="151" spans="1:14" x14ac:dyDescent="0.2">
      <c r="A151" s="4" t="s">
        <v>14</v>
      </c>
      <c r="B151" s="4" t="s">
        <v>256</v>
      </c>
      <c r="C151" s="4">
        <v>145</v>
      </c>
      <c r="D151" s="5">
        <v>45870</v>
      </c>
      <c r="E151" s="4">
        <v>901907732</v>
      </c>
      <c r="F151" s="4" t="s">
        <v>16</v>
      </c>
      <c r="G151" s="4">
        <v>811000784</v>
      </c>
      <c r="H151" s="4" t="s">
        <v>33</v>
      </c>
      <c r="I151" s="6">
        <f t="shared" si="2"/>
        <v>2105000</v>
      </c>
      <c r="J151" s="6">
        <v>399950</v>
      </c>
      <c r="K151" s="6">
        <v>0</v>
      </c>
      <c r="L151" s="6">
        <v>0</v>
      </c>
      <c r="M151" s="6">
        <v>0</v>
      </c>
      <c r="N151" s="6">
        <v>2504950</v>
      </c>
    </row>
    <row r="152" spans="1:14" x14ac:dyDescent="0.2">
      <c r="A152" s="4" t="s">
        <v>14</v>
      </c>
      <c r="B152" s="4" t="s">
        <v>255</v>
      </c>
      <c r="C152" s="4">
        <v>146</v>
      </c>
      <c r="D152" s="5">
        <v>45870</v>
      </c>
      <c r="E152" s="4">
        <v>901907732</v>
      </c>
      <c r="F152" s="4" t="s">
        <v>16</v>
      </c>
      <c r="G152" s="4">
        <v>860022343</v>
      </c>
      <c r="H152" s="4" t="s">
        <v>21</v>
      </c>
      <c r="I152" s="6">
        <f t="shared" si="2"/>
        <v>1950000</v>
      </c>
      <c r="J152" s="6">
        <v>370500</v>
      </c>
      <c r="K152" s="6">
        <v>0</v>
      </c>
      <c r="L152" s="6">
        <v>0</v>
      </c>
      <c r="M152" s="6">
        <v>0</v>
      </c>
      <c r="N152" s="6">
        <v>2320500</v>
      </c>
    </row>
    <row r="153" spans="1:14" x14ac:dyDescent="0.2">
      <c r="A153" s="4" t="s">
        <v>14</v>
      </c>
      <c r="B153" s="4" t="s">
        <v>254</v>
      </c>
      <c r="C153" s="4">
        <v>147</v>
      </c>
      <c r="D153" s="5">
        <v>45870</v>
      </c>
      <c r="E153" s="4">
        <v>901907732</v>
      </c>
      <c r="F153" s="4" t="s">
        <v>16</v>
      </c>
      <c r="G153" s="4">
        <v>901193232</v>
      </c>
      <c r="H153" s="4" t="s">
        <v>62</v>
      </c>
      <c r="I153" s="6">
        <f t="shared" si="2"/>
        <v>192485</v>
      </c>
      <c r="J153" s="6">
        <v>0</v>
      </c>
      <c r="K153" s="6">
        <v>0</v>
      </c>
      <c r="L153" s="6">
        <v>0</v>
      </c>
      <c r="M153" s="6">
        <v>0</v>
      </c>
      <c r="N153" s="6">
        <v>192485</v>
      </c>
    </row>
    <row r="154" spans="1:14" x14ac:dyDescent="0.2">
      <c r="A154" s="4" t="s">
        <v>14</v>
      </c>
      <c r="B154" s="4" t="s">
        <v>253</v>
      </c>
      <c r="C154" s="4">
        <v>148</v>
      </c>
      <c r="D154" s="5">
        <v>45870</v>
      </c>
      <c r="E154" s="4">
        <v>901907732</v>
      </c>
      <c r="F154" s="4" t="s">
        <v>16</v>
      </c>
      <c r="G154" s="4">
        <v>901225179</v>
      </c>
      <c r="H154" s="4" t="s">
        <v>126</v>
      </c>
      <c r="I154" s="6">
        <f t="shared" si="2"/>
        <v>868854</v>
      </c>
      <c r="J154" s="6">
        <v>0</v>
      </c>
      <c r="K154" s="6">
        <v>0</v>
      </c>
      <c r="L154" s="6">
        <v>0</v>
      </c>
      <c r="M154" s="6">
        <v>0</v>
      </c>
      <c r="N154" s="6">
        <v>868854</v>
      </c>
    </row>
    <row r="155" spans="1:14" x14ac:dyDescent="0.2">
      <c r="A155" s="4" t="s">
        <v>14</v>
      </c>
      <c r="B155" s="4" t="s">
        <v>252</v>
      </c>
      <c r="C155" s="4">
        <v>149</v>
      </c>
      <c r="D155" s="5">
        <v>45870</v>
      </c>
      <c r="E155" s="4">
        <v>901907732</v>
      </c>
      <c r="F155" s="4" t="s">
        <v>16</v>
      </c>
      <c r="G155" s="4">
        <v>900383497</v>
      </c>
      <c r="H155" s="4" t="s">
        <v>60</v>
      </c>
      <c r="I155" s="6">
        <f t="shared" si="2"/>
        <v>432627</v>
      </c>
      <c r="J155" s="6">
        <v>0</v>
      </c>
      <c r="K155" s="6">
        <v>0</v>
      </c>
      <c r="L155" s="6">
        <v>0</v>
      </c>
      <c r="M155" s="6">
        <v>0</v>
      </c>
      <c r="N155" s="6">
        <v>432627</v>
      </c>
    </row>
    <row r="156" spans="1:14" x14ac:dyDescent="0.2">
      <c r="A156" s="4" t="s">
        <v>14</v>
      </c>
      <c r="B156" s="4" t="s">
        <v>211</v>
      </c>
      <c r="C156" s="4">
        <v>150</v>
      </c>
      <c r="D156" s="5">
        <v>45870</v>
      </c>
      <c r="E156" s="4">
        <v>901907732</v>
      </c>
      <c r="F156" s="4" t="s">
        <v>16</v>
      </c>
      <c r="G156" s="4">
        <v>901774691</v>
      </c>
      <c r="H156" s="4" t="s">
        <v>58</v>
      </c>
      <c r="I156" s="6">
        <f t="shared" si="2"/>
        <v>420145</v>
      </c>
      <c r="J156" s="6">
        <v>0</v>
      </c>
      <c r="K156" s="6">
        <v>0</v>
      </c>
      <c r="L156" s="6">
        <v>0</v>
      </c>
      <c r="M156" s="6">
        <v>0</v>
      </c>
      <c r="N156" s="6">
        <v>420145</v>
      </c>
    </row>
    <row r="157" spans="1:14" x14ac:dyDescent="0.2">
      <c r="A157" s="4" t="s">
        <v>14</v>
      </c>
      <c r="B157" s="4" t="s">
        <v>247</v>
      </c>
      <c r="C157" s="4">
        <v>151</v>
      </c>
      <c r="D157" s="5">
        <v>45870</v>
      </c>
      <c r="E157" s="4">
        <v>901907732</v>
      </c>
      <c r="F157" s="4" t="s">
        <v>16</v>
      </c>
      <c r="G157" s="4">
        <v>830087371</v>
      </c>
      <c r="H157" s="4" t="s">
        <v>162</v>
      </c>
      <c r="I157" s="6">
        <f t="shared" si="2"/>
        <v>1354608</v>
      </c>
      <c r="J157" s="6">
        <v>0</v>
      </c>
      <c r="K157" s="6">
        <v>0</v>
      </c>
      <c r="L157" s="6">
        <v>0</v>
      </c>
      <c r="M157" s="6">
        <v>0</v>
      </c>
      <c r="N157" s="6">
        <v>1354608</v>
      </c>
    </row>
    <row r="158" spans="1:14" x14ac:dyDescent="0.2">
      <c r="A158" s="4" t="s">
        <v>14</v>
      </c>
      <c r="B158" s="4" t="s">
        <v>251</v>
      </c>
      <c r="C158" s="4">
        <v>152</v>
      </c>
      <c r="D158" s="5">
        <v>45870</v>
      </c>
      <c r="E158" s="4">
        <v>901907732</v>
      </c>
      <c r="F158" s="4" t="s">
        <v>16</v>
      </c>
      <c r="G158" s="4">
        <v>811044610</v>
      </c>
      <c r="H158" s="4" t="s">
        <v>54</v>
      </c>
      <c r="I158" s="6">
        <f t="shared" si="2"/>
        <v>654500</v>
      </c>
      <c r="J158" s="6">
        <v>124355</v>
      </c>
      <c r="K158" s="6">
        <v>0</v>
      </c>
      <c r="L158" s="6">
        <v>0</v>
      </c>
      <c r="M158" s="6">
        <v>0</v>
      </c>
      <c r="N158" s="6">
        <v>778855</v>
      </c>
    </row>
    <row r="159" spans="1:14" x14ac:dyDescent="0.2">
      <c r="A159" s="4" t="s">
        <v>14</v>
      </c>
      <c r="B159" s="4" t="s">
        <v>250</v>
      </c>
      <c r="C159" s="4">
        <v>153</v>
      </c>
      <c r="D159" s="5">
        <v>45870</v>
      </c>
      <c r="E159" s="4">
        <v>901907732</v>
      </c>
      <c r="F159" s="4" t="s">
        <v>16</v>
      </c>
      <c r="G159" s="4">
        <v>811026805</v>
      </c>
      <c r="H159" s="4" t="s">
        <v>52</v>
      </c>
      <c r="I159" s="6">
        <f t="shared" si="2"/>
        <v>550000</v>
      </c>
      <c r="J159" s="6">
        <v>104500</v>
      </c>
      <c r="K159" s="6">
        <v>0</v>
      </c>
      <c r="L159" s="6">
        <v>0</v>
      </c>
      <c r="M159" s="6">
        <v>0</v>
      </c>
      <c r="N159" s="6">
        <v>654500</v>
      </c>
    </row>
    <row r="160" spans="1:14" x14ac:dyDescent="0.2">
      <c r="A160" s="4" t="s">
        <v>14</v>
      </c>
      <c r="B160" s="4" t="s">
        <v>249</v>
      </c>
      <c r="C160" s="4">
        <v>154</v>
      </c>
      <c r="D160" s="5">
        <v>45870</v>
      </c>
      <c r="E160" s="4">
        <v>901907732</v>
      </c>
      <c r="F160" s="4" t="s">
        <v>16</v>
      </c>
      <c r="G160" s="4">
        <v>900688446</v>
      </c>
      <c r="H160" s="4" t="s">
        <v>47</v>
      </c>
      <c r="I160" s="6">
        <f t="shared" si="2"/>
        <v>2085282</v>
      </c>
      <c r="J160" s="6">
        <v>171000</v>
      </c>
      <c r="K160" s="6">
        <v>0</v>
      </c>
      <c r="L160" s="6">
        <v>0</v>
      </c>
      <c r="M160" s="6">
        <v>0</v>
      </c>
      <c r="N160" s="6">
        <v>2256282</v>
      </c>
    </row>
    <row r="161" spans="1:14" x14ac:dyDescent="0.2">
      <c r="A161" s="4" t="s">
        <v>14</v>
      </c>
      <c r="B161" s="4" t="s">
        <v>248</v>
      </c>
      <c r="C161" s="4">
        <v>155</v>
      </c>
      <c r="D161" s="5">
        <v>45870</v>
      </c>
      <c r="E161" s="4">
        <v>901907732</v>
      </c>
      <c r="F161" s="4" t="s">
        <v>16</v>
      </c>
      <c r="G161" s="4">
        <v>811017918</v>
      </c>
      <c r="H161" s="4" t="s">
        <v>19</v>
      </c>
      <c r="I161" s="6">
        <f t="shared" si="2"/>
        <v>900000</v>
      </c>
      <c r="J161" s="6">
        <v>171000</v>
      </c>
      <c r="K161" s="6">
        <v>0</v>
      </c>
      <c r="L161" s="6">
        <v>0</v>
      </c>
      <c r="M161" s="6">
        <v>0</v>
      </c>
      <c r="N161" s="6">
        <v>1071000</v>
      </c>
    </row>
    <row r="162" spans="1:14" x14ac:dyDescent="0.2">
      <c r="A162" s="4" t="s">
        <v>14</v>
      </c>
      <c r="B162" s="4" t="s">
        <v>245</v>
      </c>
      <c r="C162" s="4">
        <v>156</v>
      </c>
      <c r="D162" s="5">
        <v>45873</v>
      </c>
      <c r="E162" s="4">
        <v>901907732</v>
      </c>
      <c r="F162" s="4" t="s">
        <v>16</v>
      </c>
      <c r="G162" s="4">
        <v>901799676</v>
      </c>
      <c r="H162" s="4" t="s">
        <v>246</v>
      </c>
      <c r="I162" s="6">
        <f t="shared" si="2"/>
        <v>1804000</v>
      </c>
      <c r="J162" s="6">
        <v>342760</v>
      </c>
      <c r="K162" s="6">
        <v>0</v>
      </c>
      <c r="L162" s="6">
        <v>0</v>
      </c>
      <c r="M162" s="6">
        <v>0</v>
      </c>
      <c r="N162" s="6">
        <v>2146760</v>
      </c>
    </row>
    <row r="163" spans="1:14" x14ac:dyDescent="0.2">
      <c r="A163" s="4" t="s">
        <v>14</v>
      </c>
      <c r="B163" s="4" t="s">
        <v>234</v>
      </c>
      <c r="C163" s="4">
        <v>157</v>
      </c>
      <c r="D163" s="5">
        <v>45888</v>
      </c>
      <c r="E163" s="4">
        <v>901907732</v>
      </c>
      <c r="F163" s="4" t="s">
        <v>16</v>
      </c>
      <c r="G163" s="4">
        <v>890911898</v>
      </c>
      <c r="H163" s="4" t="s">
        <v>235</v>
      </c>
      <c r="I163" s="6">
        <f t="shared" si="2"/>
        <v>2445000</v>
      </c>
      <c r="J163" s="6">
        <v>464550</v>
      </c>
      <c r="K163" s="6">
        <v>0</v>
      </c>
      <c r="L163" s="6">
        <v>0</v>
      </c>
      <c r="M163" s="6">
        <v>0</v>
      </c>
      <c r="N163" s="6">
        <v>2909550</v>
      </c>
    </row>
    <row r="164" spans="1:14" x14ac:dyDescent="0.2">
      <c r="A164" s="4" t="s">
        <v>14</v>
      </c>
      <c r="B164" s="4" t="s">
        <v>244</v>
      </c>
      <c r="C164" s="4">
        <v>158</v>
      </c>
      <c r="D164" s="5">
        <v>45888</v>
      </c>
      <c r="E164" s="4">
        <v>901907732</v>
      </c>
      <c r="F164" s="4" t="s">
        <v>16</v>
      </c>
      <c r="G164" s="4">
        <v>900177076</v>
      </c>
      <c r="H164" s="4" t="s">
        <v>117</v>
      </c>
      <c r="I164" s="6">
        <f t="shared" si="2"/>
        <v>755000</v>
      </c>
      <c r="J164" s="6">
        <v>143450</v>
      </c>
      <c r="K164" s="6">
        <v>0</v>
      </c>
      <c r="L164" s="6">
        <v>0</v>
      </c>
      <c r="M164" s="6">
        <v>0</v>
      </c>
      <c r="N164" s="6">
        <v>898450</v>
      </c>
    </row>
    <row r="165" spans="1:14" x14ac:dyDescent="0.2">
      <c r="A165" s="4" t="s">
        <v>14</v>
      </c>
      <c r="B165" s="4" t="s">
        <v>243</v>
      </c>
      <c r="C165" s="4">
        <v>159</v>
      </c>
      <c r="D165" s="5">
        <v>45889</v>
      </c>
      <c r="E165" s="4">
        <v>901907732</v>
      </c>
      <c r="F165" s="4" t="s">
        <v>16</v>
      </c>
      <c r="G165" s="4">
        <v>901174894</v>
      </c>
      <c r="H165" s="4" t="s">
        <v>196</v>
      </c>
      <c r="I165" s="6">
        <f t="shared" si="2"/>
        <v>927624</v>
      </c>
      <c r="J165" s="6">
        <v>0</v>
      </c>
      <c r="K165" s="6">
        <v>0</v>
      </c>
      <c r="L165" s="6">
        <v>0</v>
      </c>
      <c r="M165" s="6">
        <v>0</v>
      </c>
      <c r="N165" s="6">
        <v>927624</v>
      </c>
    </row>
    <row r="166" spans="1:14" x14ac:dyDescent="0.2">
      <c r="A166" s="4" t="s">
        <v>14</v>
      </c>
      <c r="B166" s="4" t="s">
        <v>242</v>
      </c>
      <c r="C166" s="4">
        <v>160</v>
      </c>
      <c r="D166" s="5">
        <v>45889</v>
      </c>
      <c r="E166" s="4">
        <v>901907732</v>
      </c>
      <c r="F166" s="4" t="s">
        <v>16</v>
      </c>
      <c r="G166" s="4">
        <v>900643097</v>
      </c>
      <c r="H166" s="4" t="s">
        <v>36</v>
      </c>
      <c r="I166" s="6">
        <f t="shared" si="2"/>
        <v>980000</v>
      </c>
      <c r="J166" s="6">
        <v>0</v>
      </c>
      <c r="K166" s="6">
        <v>0</v>
      </c>
      <c r="L166" s="6">
        <v>0</v>
      </c>
      <c r="M166" s="6">
        <v>0</v>
      </c>
      <c r="N166" s="6">
        <v>980000</v>
      </c>
    </row>
    <row r="167" spans="1:14" x14ac:dyDescent="0.2">
      <c r="A167" s="4" t="s">
        <v>14</v>
      </c>
      <c r="B167" s="4" t="s">
        <v>241</v>
      </c>
      <c r="C167" s="4">
        <v>161</v>
      </c>
      <c r="D167" s="5">
        <v>45889</v>
      </c>
      <c r="E167" s="4">
        <v>901907732</v>
      </c>
      <c r="F167" s="4" t="s">
        <v>16</v>
      </c>
      <c r="G167" s="4">
        <v>900983772</v>
      </c>
      <c r="H167" s="4" t="s">
        <v>110</v>
      </c>
      <c r="I167" s="6">
        <f t="shared" si="2"/>
        <v>92782</v>
      </c>
      <c r="J167" s="6">
        <v>17628.580000000002</v>
      </c>
      <c r="K167" s="6">
        <v>0</v>
      </c>
      <c r="L167" s="6">
        <v>0</v>
      </c>
      <c r="M167" s="6">
        <v>0</v>
      </c>
      <c r="N167" s="6">
        <v>110410.58</v>
      </c>
    </row>
    <row r="168" spans="1:14" x14ac:dyDescent="0.2">
      <c r="A168" s="4" t="s">
        <v>14</v>
      </c>
      <c r="B168" s="4" t="s">
        <v>240</v>
      </c>
      <c r="C168" s="4">
        <v>162</v>
      </c>
      <c r="D168" s="5">
        <v>45890</v>
      </c>
      <c r="E168" s="4">
        <v>901907732</v>
      </c>
      <c r="F168" s="4" t="s">
        <v>16</v>
      </c>
      <c r="G168" s="4">
        <v>811000784</v>
      </c>
      <c r="H168" s="4" t="s">
        <v>33</v>
      </c>
      <c r="I168" s="6">
        <f t="shared" si="2"/>
        <v>235000</v>
      </c>
      <c r="J168" s="6">
        <v>44650</v>
      </c>
      <c r="K168" s="6">
        <v>0</v>
      </c>
      <c r="L168" s="6">
        <v>0</v>
      </c>
      <c r="M168" s="6">
        <v>0</v>
      </c>
      <c r="N168" s="6">
        <v>279650</v>
      </c>
    </row>
    <row r="169" spans="1:14" x14ac:dyDescent="0.2">
      <c r="A169" s="4" t="s">
        <v>14</v>
      </c>
      <c r="B169" s="4" t="s">
        <v>239</v>
      </c>
      <c r="C169" s="4">
        <v>163</v>
      </c>
      <c r="D169" s="5">
        <v>45890</v>
      </c>
      <c r="E169" s="4">
        <v>901907732</v>
      </c>
      <c r="F169" s="4" t="s">
        <v>16</v>
      </c>
      <c r="G169" s="4">
        <v>811000784</v>
      </c>
      <c r="H169" s="4" t="s">
        <v>33</v>
      </c>
      <c r="I169" s="6">
        <f t="shared" si="2"/>
        <v>109000</v>
      </c>
      <c r="J169" s="6">
        <v>20710</v>
      </c>
      <c r="K169" s="6">
        <v>0</v>
      </c>
      <c r="L169" s="6">
        <v>0</v>
      </c>
      <c r="M169" s="6">
        <v>0</v>
      </c>
      <c r="N169" s="6">
        <v>129710</v>
      </c>
    </row>
    <row r="170" spans="1:14" x14ac:dyDescent="0.2">
      <c r="A170" s="4" t="s">
        <v>14</v>
      </c>
      <c r="B170" s="4" t="s">
        <v>238</v>
      </c>
      <c r="C170" s="4">
        <v>164</v>
      </c>
      <c r="D170" s="5">
        <v>45890</v>
      </c>
      <c r="E170" s="4">
        <v>901907732</v>
      </c>
      <c r="F170" s="4" t="s">
        <v>16</v>
      </c>
      <c r="G170" s="4">
        <v>811000784</v>
      </c>
      <c r="H170" s="4" t="s">
        <v>33</v>
      </c>
      <c r="I170" s="6">
        <f t="shared" si="2"/>
        <v>70800</v>
      </c>
      <c r="J170" s="6">
        <v>13452</v>
      </c>
      <c r="K170" s="6">
        <v>0</v>
      </c>
      <c r="L170" s="6">
        <v>0</v>
      </c>
      <c r="M170" s="6">
        <v>0</v>
      </c>
      <c r="N170" s="6">
        <v>84252</v>
      </c>
    </row>
    <row r="171" spans="1:14" x14ac:dyDescent="0.2">
      <c r="A171" s="4" t="s">
        <v>14</v>
      </c>
      <c r="B171" s="4" t="s">
        <v>237</v>
      </c>
      <c r="C171" s="4">
        <v>165</v>
      </c>
      <c r="D171" s="5">
        <v>45890</v>
      </c>
      <c r="E171" s="4">
        <v>901907732</v>
      </c>
      <c r="F171" s="4" t="s">
        <v>16</v>
      </c>
      <c r="G171" s="4">
        <v>811000784</v>
      </c>
      <c r="H171" s="4" t="s">
        <v>33</v>
      </c>
      <c r="I171" s="6">
        <f t="shared" si="2"/>
        <v>840000</v>
      </c>
      <c r="J171" s="6">
        <v>0</v>
      </c>
      <c r="K171" s="6">
        <v>0</v>
      </c>
      <c r="L171" s="6">
        <v>0</v>
      </c>
      <c r="M171" s="6">
        <v>0</v>
      </c>
      <c r="N171" s="6">
        <v>840000</v>
      </c>
    </row>
    <row r="172" spans="1:14" x14ac:dyDescent="0.2">
      <c r="A172" s="4" t="s">
        <v>14</v>
      </c>
      <c r="B172" s="4" t="s">
        <v>233</v>
      </c>
      <c r="C172" s="4">
        <v>166</v>
      </c>
      <c r="D172" s="5">
        <v>45895</v>
      </c>
      <c r="E172" s="4">
        <v>901907732</v>
      </c>
      <c r="F172" s="4" t="s">
        <v>16</v>
      </c>
      <c r="G172" s="4">
        <v>811044610</v>
      </c>
      <c r="H172" s="4" t="s">
        <v>54</v>
      </c>
      <c r="I172" s="6">
        <f t="shared" si="2"/>
        <v>8150000</v>
      </c>
      <c r="J172" s="6">
        <v>43700</v>
      </c>
      <c r="K172" s="6">
        <v>0</v>
      </c>
      <c r="L172" s="6">
        <v>0</v>
      </c>
      <c r="M172" s="6">
        <v>0</v>
      </c>
      <c r="N172" s="6">
        <v>8193700</v>
      </c>
    </row>
    <row r="173" spans="1:14" x14ac:dyDescent="0.2">
      <c r="A173" s="4" t="s">
        <v>14</v>
      </c>
      <c r="B173" s="4" t="s">
        <v>230</v>
      </c>
      <c r="C173" s="4">
        <v>167</v>
      </c>
      <c r="D173" s="5">
        <v>45898</v>
      </c>
      <c r="E173" s="4">
        <v>901907732</v>
      </c>
      <c r="F173" s="4" t="s">
        <v>16</v>
      </c>
      <c r="G173" s="4">
        <v>811044610</v>
      </c>
      <c r="H173" s="4" t="s">
        <v>54</v>
      </c>
      <c r="I173" s="6">
        <f t="shared" si="2"/>
        <v>9170000</v>
      </c>
      <c r="J173" s="6">
        <v>0</v>
      </c>
      <c r="K173" s="6">
        <v>0</v>
      </c>
      <c r="L173" s="6">
        <v>0</v>
      </c>
      <c r="M173" s="6">
        <v>0</v>
      </c>
      <c r="N173" s="6">
        <v>9170000</v>
      </c>
    </row>
    <row r="174" spans="1:14" x14ac:dyDescent="0.2">
      <c r="A174" s="4" t="s">
        <v>14</v>
      </c>
      <c r="B174" s="4" t="s">
        <v>88</v>
      </c>
      <c r="C174" s="4">
        <v>168</v>
      </c>
      <c r="D174" s="5">
        <v>45898</v>
      </c>
      <c r="E174" s="4">
        <v>901907732</v>
      </c>
      <c r="F174" s="4" t="s">
        <v>16</v>
      </c>
      <c r="G174" s="4">
        <v>901495799</v>
      </c>
      <c r="H174" s="4" t="s">
        <v>17</v>
      </c>
      <c r="I174" s="6">
        <f t="shared" si="2"/>
        <v>1124000</v>
      </c>
      <c r="J174" s="6">
        <v>213560</v>
      </c>
      <c r="K174" s="6">
        <v>0</v>
      </c>
      <c r="L174" s="6">
        <v>0</v>
      </c>
      <c r="M174" s="6">
        <v>0</v>
      </c>
      <c r="N174" s="6">
        <v>1337560</v>
      </c>
    </row>
    <row r="175" spans="1:14" x14ac:dyDescent="0.2">
      <c r="A175" s="4" t="s">
        <v>14</v>
      </c>
      <c r="B175" s="4" t="s">
        <v>229</v>
      </c>
      <c r="C175" s="4">
        <v>169</v>
      </c>
      <c r="D175" s="5">
        <v>45901</v>
      </c>
      <c r="E175" s="4">
        <v>901907732</v>
      </c>
      <c r="F175" s="4" t="s">
        <v>16</v>
      </c>
      <c r="G175" s="4">
        <v>901446911</v>
      </c>
      <c r="H175" s="4" t="s">
        <v>76</v>
      </c>
      <c r="I175" s="6">
        <f t="shared" si="2"/>
        <v>169326</v>
      </c>
      <c r="J175" s="6">
        <v>0</v>
      </c>
      <c r="K175" s="6">
        <v>0</v>
      </c>
      <c r="L175" s="6">
        <v>0</v>
      </c>
      <c r="M175" s="6">
        <v>0</v>
      </c>
      <c r="N175" s="6">
        <v>169326</v>
      </c>
    </row>
    <row r="176" spans="1:14" x14ac:dyDescent="0.2">
      <c r="A176" s="4" t="s">
        <v>14</v>
      </c>
      <c r="B176" s="4" t="s">
        <v>87</v>
      </c>
      <c r="C176" s="4">
        <v>170</v>
      </c>
      <c r="D176" s="5">
        <v>45901</v>
      </c>
      <c r="E176" s="4">
        <v>901907732</v>
      </c>
      <c r="F176" s="4" t="s">
        <v>16</v>
      </c>
      <c r="G176" s="4">
        <v>901495799</v>
      </c>
      <c r="H176" s="4" t="s">
        <v>17</v>
      </c>
      <c r="I176" s="6">
        <f t="shared" si="2"/>
        <v>2600000</v>
      </c>
      <c r="J176" s="6">
        <v>494000</v>
      </c>
      <c r="K176" s="6">
        <v>0</v>
      </c>
      <c r="L176" s="6">
        <v>0</v>
      </c>
      <c r="M176" s="6">
        <v>0</v>
      </c>
      <c r="N176" s="6">
        <v>3094000</v>
      </c>
    </row>
    <row r="177" spans="1:14" x14ac:dyDescent="0.2">
      <c r="A177" s="4" t="s">
        <v>14</v>
      </c>
      <c r="B177" s="4" t="s">
        <v>228</v>
      </c>
      <c r="C177" s="4">
        <v>171</v>
      </c>
      <c r="D177" s="5">
        <v>45901</v>
      </c>
      <c r="E177" s="4">
        <v>901907732</v>
      </c>
      <c r="F177" s="4" t="s">
        <v>16</v>
      </c>
      <c r="G177" s="4">
        <v>900643097</v>
      </c>
      <c r="H177" s="4" t="s">
        <v>36</v>
      </c>
      <c r="I177" s="6">
        <f t="shared" si="2"/>
        <v>2099450</v>
      </c>
      <c r="J177" s="6">
        <v>218500</v>
      </c>
      <c r="K177" s="6">
        <v>0</v>
      </c>
      <c r="L177" s="6">
        <v>0</v>
      </c>
      <c r="M177" s="6">
        <v>0</v>
      </c>
      <c r="N177" s="6">
        <v>2317950</v>
      </c>
    </row>
    <row r="178" spans="1:14" x14ac:dyDescent="0.2">
      <c r="A178" s="4" t="s">
        <v>14</v>
      </c>
      <c r="B178" s="4" t="s">
        <v>227</v>
      </c>
      <c r="C178" s="4">
        <v>172</v>
      </c>
      <c r="D178" s="5">
        <v>45901</v>
      </c>
      <c r="E178" s="4">
        <v>901907732</v>
      </c>
      <c r="F178" s="4" t="s">
        <v>16</v>
      </c>
      <c r="G178" s="4">
        <v>901428649</v>
      </c>
      <c r="H178" s="4" t="s">
        <v>72</v>
      </c>
      <c r="I178" s="6">
        <f t="shared" si="2"/>
        <v>903072</v>
      </c>
      <c r="J178" s="6">
        <v>0</v>
      </c>
      <c r="K178" s="6">
        <v>0</v>
      </c>
      <c r="L178" s="6">
        <v>0</v>
      </c>
      <c r="M178" s="6">
        <v>0</v>
      </c>
      <c r="N178" s="6">
        <v>903072</v>
      </c>
    </row>
    <row r="179" spans="1:14" x14ac:dyDescent="0.2">
      <c r="A179" s="4" t="s">
        <v>14</v>
      </c>
      <c r="B179" s="4" t="s">
        <v>226</v>
      </c>
      <c r="C179" s="4">
        <v>173</v>
      </c>
      <c r="D179" s="5">
        <v>45901</v>
      </c>
      <c r="E179" s="4">
        <v>901907732</v>
      </c>
      <c r="F179" s="4" t="s">
        <v>16</v>
      </c>
      <c r="G179" s="4">
        <v>901105552</v>
      </c>
      <c r="H179" s="4" t="s">
        <v>69</v>
      </c>
      <c r="I179" s="6">
        <f t="shared" si="2"/>
        <v>5750978</v>
      </c>
      <c r="J179" s="6">
        <v>0</v>
      </c>
      <c r="K179" s="6">
        <v>0</v>
      </c>
      <c r="L179" s="6">
        <v>0</v>
      </c>
      <c r="M179" s="6">
        <v>0</v>
      </c>
      <c r="N179" s="6">
        <v>5750978</v>
      </c>
    </row>
    <row r="180" spans="1:14" x14ac:dyDescent="0.2">
      <c r="A180" s="4" t="s">
        <v>14</v>
      </c>
      <c r="B180" s="4" t="s">
        <v>225</v>
      </c>
      <c r="C180" s="4">
        <v>174</v>
      </c>
      <c r="D180" s="5">
        <v>45901</v>
      </c>
      <c r="E180" s="4">
        <v>901907732</v>
      </c>
      <c r="F180" s="4" t="s">
        <v>16</v>
      </c>
      <c r="G180" s="4">
        <v>901105552</v>
      </c>
      <c r="H180" s="4" t="s">
        <v>69</v>
      </c>
      <c r="I180" s="6">
        <f t="shared" si="2"/>
        <v>2435000</v>
      </c>
      <c r="J180" s="6">
        <v>0</v>
      </c>
      <c r="K180" s="6">
        <v>0</v>
      </c>
      <c r="L180" s="6">
        <v>0</v>
      </c>
      <c r="M180" s="6">
        <v>0</v>
      </c>
      <c r="N180" s="6">
        <v>2435000</v>
      </c>
    </row>
    <row r="181" spans="1:14" x14ac:dyDescent="0.2">
      <c r="A181" s="4" t="s">
        <v>14</v>
      </c>
      <c r="B181" s="4" t="s">
        <v>224</v>
      </c>
      <c r="C181" s="4">
        <v>175</v>
      </c>
      <c r="D181" s="5">
        <v>45901</v>
      </c>
      <c r="E181" s="4">
        <v>901907732</v>
      </c>
      <c r="F181" s="4" t="s">
        <v>16</v>
      </c>
      <c r="G181" s="4">
        <v>900208742</v>
      </c>
      <c r="H181" s="4" t="s">
        <v>67</v>
      </c>
      <c r="I181" s="6">
        <f t="shared" si="2"/>
        <v>200000</v>
      </c>
      <c r="J181" s="6">
        <v>0</v>
      </c>
      <c r="K181" s="6">
        <v>0</v>
      </c>
      <c r="L181" s="6">
        <v>0</v>
      </c>
      <c r="M181" s="6">
        <v>0</v>
      </c>
      <c r="N181" s="6">
        <v>200000</v>
      </c>
    </row>
    <row r="182" spans="1:14" x14ac:dyDescent="0.2">
      <c r="A182" s="4" t="s">
        <v>14</v>
      </c>
      <c r="B182" s="4" t="s">
        <v>223</v>
      </c>
      <c r="C182" s="4">
        <v>176</v>
      </c>
      <c r="D182" s="5">
        <v>45901</v>
      </c>
      <c r="E182" s="4">
        <v>901907732</v>
      </c>
      <c r="F182" s="4" t="s">
        <v>16</v>
      </c>
      <c r="G182" s="4">
        <v>811000784</v>
      </c>
      <c r="H182" s="4" t="s">
        <v>33</v>
      </c>
      <c r="I182" s="6">
        <f t="shared" si="2"/>
        <v>1729962</v>
      </c>
      <c r="J182" s="6">
        <v>0</v>
      </c>
      <c r="K182" s="6">
        <v>0</v>
      </c>
      <c r="L182" s="6">
        <v>0</v>
      </c>
      <c r="M182" s="6">
        <v>0</v>
      </c>
      <c r="N182" s="6">
        <v>1729962</v>
      </c>
    </row>
    <row r="183" spans="1:14" x14ac:dyDescent="0.2">
      <c r="A183" s="4" t="s">
        <v>14</v>
      </c>
      <c r="B183" s="4" t="s">
        <v>222</v>
      </c>
      <c r="C183" s="4">
        <v>177</v>
      </c>
      <c r="D183" s="5">
        <v>45901</v>
      </c>
      <c r="E183" s="4">
        <v>901907732</v>
      </c>
      <c r="F183" s="4" t="s">
        <v>16</v>
      </c>
      <c r="G183" s="4">
        <v>811000784</v>
      </c>
      <c r="H183" s="4" t="s">
        <v>33</v>
      </c>
      <c r="I183" s="6">
        <f t="shared" si="2"/>
        <v>2105000</v>
      </c>
      <c r="J183" s="6">
        <v>399950</v>
      </c>
      <c r="K183" s="6">
        <v>0</v>
      </c>
      <c r="L183" s="6">
        <v>0</v>
      </c>
      <c r="M183" s="6">
        <v>0</v>
      </c>
      <c r="N183" s="6">
        <v>2504950</v>
      </c>
    </row>
    <row r="184" spans="1:14" x14ac:dyDescent="0.2">
      <c r="A184" s="4" t="s">
        <v>14</v>
      </c>
      <c r="B184" s="4" t="s">
        <v>221</v>
      </c>
      <c r="C184" s="4">
        <v>178</v>
      </c>
      <c r="D184" s="5">
        <v>45901</v>
      </c>
      <c r="E184" s="4">
        <v>901907732</v>
      </c>
      <c r="F184" s="4" t="s">
        <v>16</v>
      </c>
      <c r="G184" s="4">
        <v>811000784</v>
      </c>
      <c r="H184" s="4" t="s">
        <v>33</v>
      </c>
      <c r="I184" s="6">
        <f t="shared" si="2"/>
        <v>280000</v>
      </c>
      <c r="J184" s="6">
        <v>0</v>
      </c>
      <c r="K184" s="6">
        <v>0</v>
      </c>
      <c r="L184" s="6">
        <v>0</v>
      </c>
      <c r="M184" s="6">
        <v>0</v>
      </c>
      <c r="N184" s="6">
        <v>280000</v>
      </c>
    </row>
    <row r="185" spans="1:14" x14ac:dyDescent="0.2">
      <c r="A185" s="4" t="s">
        <v>14</v>
      </c>
      <c r="B185" s="4" t="s">
        <v>220</v>
      </c>
      <c r="C185" s="4">
        <v>179</v>
      </c>
      <c r="D185" s="5">
        <v>45901</v>
      </c>
      <c r="E185" s="4">
        <v>901907732</v>
      </c>
      <c r="F185" s="4" t="s">
        <v>16</v>
      </c>
      <c r="G185" s="4">
        <v>860022343</v>
      </c>
      <c r="H185" s="4" t="s">
        <v>21</v>
      </c>
      <c r="I185" s="6">
        <f t="shared" si="2"/>
        <v>1950000</v>
      </c>
      <c r="J185" s="6">
        <v>370500</v>
      </c>
      <c r="K185" s="6">
        <v>0</v>
      </c>
      <c r="L185" s="6">
        <v>0</v>
      </c>
      <c r="M185" s="6">
        <v>0</v>
      </c>
      <c r="N185" s="6">
        <v>2320500</v>
      </c>
    </row>
    <row r="186" spans="1:14" x14ac:dyDescent="0.2">
      <c r="A186" s="4" t="s">
        <v>14</v>
      </c>
      <c r="B186" s="4" t="s">
        <v>219</v>
      </c>
      <c r="C186" s="4">
        <v>180</v>
      </c>
      <c r="D186" s="5">
        <v>45901</v>
      </c>
      <c r="E186" s="4">
        <v>901907732</v>
      </c>
      <c r="F186" s="4" t="s">
        <v>16</v>
      </c>
      <c r="G186" s="4">
        <v>901193232</v>
      </c>
      <c r="H186" s="4" t="s">
        <v>62</v>
      </c>
      <c r="I186" s="6">
        <f t="shared" si="2"/>
        <v>192485</v>
      </c>
      <c r="J186" s="6">
        <v>0</v>
      </c>
      <c r="K186" s="6">
        <v>0</v>
      </c>
      <c r="L186" s="6">
        <v>0</v>
      </c>
      <c r="M186" s="6">
        <v>0</v>
      </c>
      <c r="N186" s="6">
        <v>192485</v>
      </c>
    </row>
    <row r="187" spans="1:14" x14ac:dyDescent="0.2">
      <c r="A187" s="4" t="s">
        <v>14</v>
      </c>
      <c r="B187" s="4" t="s">
        <v>218</v>
      </c>
      <c r="C187" s="4">
        <v>181</v>
      </c>
      <c r="D187" s="5">
        <v>45901</v>
      </c>
      <c r="E187" s="4">
        <v>901907732</v>
      </c>
      <c r="F187" s="4" t="s">
        <v>16</v>
      </c>
      <c r="G187" s="4">
        <v>901225179</v>
      </c>
      <c r="H187" s="4" t="s">
        <v>126</v>
      </c>
      <c r="I187" s="6">
        <f t="shared" si="2"/>
        <v>868854</v>
      </c>
      <c r="J187" s="6">
        <v>0</v>
      </c>
      <c r="K187" s="6">
        <v>0</v>
      </c>
      <c r="L187" s="6">
        <v>0</v>
      </c>
      <c r="M187" s="6">
        <v>0</v>
      </c>
      <c r="N187" s="6">
        <v>868854</v>
      </c>
    </row>
    <row r="188" spans="1:14" x14ac:dyDescent="0.2">
      <c r="A188" s="4" t="s">
        <v>14</v>
      </c>
      <c r="B188" s="4" t="s">
        <v>217</v>
      </c>
      <c r="C188" s="4">
        <v>182</v>
      </c>
      <c r="D188" s="5">
        <v>45901</v>
      </c>
      <c r="E188" s="4">
        <v>901907732</v>
      </c>
      <c r="F188" s="4" t="s">
        <v>16</v>
      </c>
      <c r="G188" s="4">
        <v>900383497</v>
      </c>
      <c r="H188" s="4" t="s">
        <v>60</v>
      </c>
      <c r="I188" s="6">
        <f t="shared" si="2"/>
        <v>432627</v>
      </c>
      <c r="J188" s="6">
        <v>0</v>
      </c>
      <c r="K188" s="6">
        <v>0</v>
      </c>
      <c r="L188" s="6">
        <v>0</v>
      </c>
      <c r="M188" s="6">
        <v>0</v>
      </c>
      <c r="N188" s="6">
        <v>432627</v>
      </c>
    </row>
    <row r="189" spans="1:14" x14ac:dyDescent="0.2">
      <c r="A189" s="4" t="s">
        <v>14</v>
      </c>
      <c r="B189" s="4" t="s">
        <v>216</v>
      </c>
      <c r="C189" s="4">
        <v>183</v>
      </c>
      <c r="D189" s="5">
        <v>45901</v>
      </c>
      <c r="E189" s="4">
        <v>901907732</v>
      </c>
      <c r="F189" s="4" t="s">
        <v>16</v>
      </c>
      <c r="G189" s="4">
        <v>901774691</v>
      </c>
      <c r="H189" s="4" t="s">
        <v>58</v>
      </c>
      <c r="I189" s="6">
        <f t="shared" si="2"/>
        <v>365781</v>
      </c>
      <c r="J189" s="6">
        <v>0</v>
      </c>
      <c r="K189" s="6">
        <v>0</v>
      </c>
      <c r="L189" s="6">
        <v>0</v>
      </c>
      <c r="M189" s="6">
        <v>0</v>
      </c>
      <c r="N189" s="6">
        <v>365781</v>
      </c>
    </row>
    <row r="190" spans="1:14" x14ac:dyDescent="0.2">
      <c r="A190" s="4" t="s">
        <v>14</v>
      </c>
      <c r="B190" s="4" t="s">
        <v>194</v>
      </c>
      <c r="C190" s="4">
        <v>184</v>
      </c>
      <c r="D190" s="5">
        <v>45901</v>
      </c>
      <c r="E190" s="4">
        <v>901907732</v>
      </c>
      <c r="F190" s="4" t="s">
        <v>16</v>
      </c>
      <c r="G190" s="4">
        <v>830087371</v>
      </c>
      <c r="H190" s="4" t="s">
        <v>162</v>
      </c>
      <c r="I190" s="6">
        <f t="shared" si="2"/>
        <v>1467492</v>
      </c>
      <c r="J190" s="6">
        <v>0</v>
      </c>
      <c r="K190" s="6">
        <v>0</v>
      </c>
      <c r="L190" s="6">
        <v>0</v>
      </c>
      <c r="M190" s="6">
        <v>0</v>
      </c>
      <c r="N190" s="6">
        <v>1467492</v>
      </c>
    </row>
    <row r="191" spans="1:14" x14ac:dyDescent="0.2">
      <c r="A191" s="4" t="s">
        <v>14</v>
      </c>
      <c r="B191" s="4" t="s">
        <v>215</v>
      </c>
      <c r="C191" s="4">
        <v>185</v>
      </c>
      <c r="D191" s="5">
        <v>45901</v>
      </c>
      <c r="E191" s="4">
        <v>901907732</v>
      </c>
      <c r="F191" s="4" t="s">
        <v>16</v>
      </c>
      <c r="G191" s="4">
        <v>811044610</v>
      </c>
      <c r="H191" s="4" t="s">
        <v>54</v>
      </c>
      <c r="I191" s="6">
        <f t="shared" si="2"/>
        <v>654500</v>
      </c>
      <c r="J191" s="6">
        <v>124355</v>
      </c>
      <c r="K191" s="6">
        <v>0</v>
      </c>
      <c r="L191" s="6">
        <v>0</v>
      </c>
      <c r="M191" s="6">
        <v>0</v>
      </c>
      <c r="N191" s="6">
        <v>778855</v>
      </c>
    </row>
    <row r="192" spans="1:14" x14ac:dyDescent="0.2">
      <c r="A192" s="4" t="s">
        <v>14</v>
      </c>
      <c r="B192" s="4" t="s">
        <v>214</v>
      </c>
      <c r="C192" s="4">
        <v>186</v>
      </c>
      <c r="D192" s="5">
        <v>45901</v>
      </c>
      <c r="E192" s="4">
        <v>901907732</v>
      </c>
      <c r="F192" s="4" t="s">
        <v>16</v>
      </c>
      <c r="G192" s="4">
        <v>811026805</v>
      </c>
      <c r="H192" s="4" t="s">
        <v>52</v>
      </c>
      <c r="I192" s="6">
        <f t="shared" si="2"/>
        <v>550000</v>
      </c>
      <c r="J192" s="6">
        <v>104500</v>
      </c>
      <c r="K192" s="6">
        <v>0</v>
      </c>
      <c r="L192" s="6">
        <v>0</v>
      </c>
      <c r="M192" s="6">
        <v>0</v>
      </c>
      <c r="N192" s="6">
        <v>654500</v>
      </c>
    </row>
    <row r="193" spans="1:14" x14ac:dyDescent="0.2">
      <c r="A193" s="4" t="s">
        <v>14</v>
      </c>
      <c r="B193" s="4" t="s">
        <v>213</v>
      </c>
      <c r="C193" s="4">
        <v>187</v>
      </c>
      <c r="D193" s="5">
        <v>45901</v>
      </c>
      <c r="E193" s="4">
        <v>901907732</v>
      </c>
      <c r="F193" s="4" t="s">
        <v>16</v>
      </c>
      <c r="G193" s="4">
        <v>900688446</v>
      </c>
      <c r="H193" s="4" t="s">
        <v>47</v>
      </c>
      <c r="I193" s="6">
        <f t="shared" si="2"/>
        <v>2085282</v>
      </c>
      <c r="J193" s="6">
        <v>171000</v>
      </c>
      <c r="K193" s="6">
        <v>0</v>
      </c>
      <c r="L193" s="6">
        <v>0</v>
      </c>
      <c r="M193" s="6">
        <v>0</v>
      </c>
      <c r="N193" s="6">
        <v>2256282</v>
      </c>
    </row>
    <row r="194" spans="1:14" x14ac:dyDescent="0.2">
      <c r="A194" s="4" t="s">
        <v>14</v>
      </c>
      <c r="B194" s="4" t="s">
        <v>212</v>
      </c>
      <c r="C194" s="4">
        <v>188</v>
      </c>
      <c r="D194" s="5">
        <v>45901</v>
      </c>
      <c r="E194" s="4">
        <v>901907732</v>
      </c>
      <c r="F194" s="4" t="s">
        <v>16</v>
      </c>
      <c r="G194" s="4">
        <v>811017918</v>
      </c>
      <c r="H194" s="4" t="s">
        <v>19</v>
      </c>
      <c r="I194" s="6">
        <f t="shared" ref="I194:I257" si="3">+N194-M194-L194-K194-J194</f>
        <v>900000</v>
      </c>
      <c r="J194" s="6">
        <v>171000</v>
      </c>
      <c r="K194" s="6">
        <v>0</v>
      </c>
      <c r="L194" s="6">
        <v>0</v>
      </c>
      <c r="M194" s="6">
        <v>0</v>
      </c>
      <c r="N194" s="6">
        <v>1071000</v>
      </c>
    </row>
    <row r="195" spans="1:14" x14ac:dyDescent="0.2">
      <c r="A195" s="4" t="s">
        <v>14</v>
      </c>
      <c r="B195" s="4" t="s">
        <v>37</v>
      </c>
      <c r="C195" s="4">
        <v>189</v>
      </c>
      <c r="D195" s="5">
        <v>45903</v>
      </c>
      <c r="E195" s="4">
        <v>901907732</v>
      </c>
      <c r="F195" s="4" t="s">
        <v>16</v>
      </c>
      <c r="G195" s="4">
        <v>901805601</v>
      </c>
      <c r="H195" s="4" t="s">
        <v>38</v>
      </c>
      <c r="I195" s="6">
        <f t="shared" si="3"/>
        <v>680000</v>
      </c>
      <c r="J195" s="6">
        <v>129200</v>
      </c>
      <c r="K195" s="6">
        <v>0</v>
      </c>
      <c r="L195" s="6">
        <v>0</v>
      </c>
      <c r="M195" s="6">
        <v>0</v>
      </c>
      <c r="N195" s="6">
        <v>809200</v>
      </c>
    </row>
    <row r="196" spans="1:14" x14ac:dyDescent="0.2">
      <c r="A196" s="4" t="s">
        <v>14</v>
      </c>
      <c r="B196" s="4" t="s">
        <v>39</v>
      </c>
      <c r="C196" s="4">
        <v>190</v>
      </c>
      <c r="D196" s="5">
        <v>45903</v>
      </c>
      <c r="E196" s="4">
        <v>901907732</v>
      </c>
      <c r="F196" s="4" t="s">
        <v>16</v>
      </c>
      <c r="G196" s="4">
        <v>901805601</v>
      </c>
      <c r="H196" s="4" t="s">
        <v>38</v>
      </c>
      <c r="I196" s="6">
        <f t="shared" si="3"/>
        <v>75000</v>
      </c>
      <c r="J196" s="6">
        <v>14250</v>
      </c>
      <c r="K196" s="6">
        <v>0</v>
      </c>
      <c r="L196" s="6">
        <v>0</v>
      </c>
      <c r="M196" s="6">
        <v>0</v>
      </c>
      <c r="N196" s="6">
        <v>89250</v>
      </c>
    </row>
    <row r="197" spans="1:14" x14ac:dyDescent="0.2">
      <c r="A197" s="4" t="s">
        <v>14</v>
      </c>
      <c r="B197" s="4" t="s">
        <v>206</v>
      </c>
      <c r="C197" s="4">
        <v>191</v>
      </c>
      <c r="D197" s="5">
        <v>45905</v>
      </c>
      <c r="E197" s="4">
        <v>901907732</v>
      </c>
      <c r="F197" s="4" t="s">
        <v>16</v>
      </c>
      <c r="G197" s="4">
        <v>890910970</v>
      </c>
      <c r="H197" s="4" t="s">
        <v>25</v>
      </c>
      <c r="I197" s="6">
        <f t="shared" si="3"/>
        <v>1400000</v>
      </c>
      <c r="J197" s="6">
        <v>266000</v>
      </c>
      <c r="K197" s="6">
        <v>0</v>
      </c>
      <c r="L197" s="6">
        <v>0</v>
      </c>
      <c r="M197" s="6">
        <v>0</v>
      </c>
      <c r="N197" s="6">
        <v>1666000</v>
      </c>
    </row>
    <row r="198" spans="1:14" x14ac:dyDescent="0.2">
      <c r="A198" s="4" t="s">
        <v>14</v>
      </c>
      <c r="B198" s="4" t="s">
        <v>207</v>
      </c>
      <c r="C198" s="4">
        <v>192</v>
      </c>
      <c r="D198" s="5">
        <v>45905</v>
      </c>
      <c r="E198" s="4">
        <v>901907732</v>
      </c>
      <c r="F198" s="4" t="s">
        <v>16</v>
      </c>
      <c r="G198" s="4">
        <v>900643097</v>
      </c>
      <c r="H198" s="4" t="s">
        <v>36</v>
      </c>
      <c r="I198" s="6">
        <f t="shared" si="3"/>
        <v>6000000</v>
      </c>
      <c r="J198" s="6">
        <v>0</v>
      </c>
      <c r="K198" s="6">
        <v>0</v>
      </c>
      <c r="L198" s="6">
        <v>0</v>
      </c>
      <c r="M198" s="6">
        <v>0</v>
      </c>
      <c r="N198" s="6">
        <v>6000000</v>
      </c>
    </row>
    <row r="199" spans="1:14" x14ac:dyDescent="0.2">
      <c r="A199" s="4" t="s">
        <v>14</v>
      </c>
      <c r="B199" s="4" t="s">
        <v>205</v>
      </c>
      <c r="C199" s="4">
        <v>193</v>
      </c>
      <c r="D199" s="5">
        <v>45906</v>
      </c>
      <c r="E199" s="4">
        <v>901907732</v>
      </c>
      <c r="F199" s="4" t="s">
        <v>16</v>
      </c>
      <c r="G199" s="4">
        <v>811000784</v>
      </c>
      <c r="H199" s="4" t="s">
        <v>33</v>
      </c>
      <c r="I199" s="6">
        <f t="shared" si="3"/>
        <v>7550000</v>
      </c>
      <c r="J199" s="6">
        <v>1434500</v>
      </c>
      <c r="K199" s="6">
        <v>0</v>
      </c>
      <c r="L199" s="6">
        <v>0</v>
      </c>
      <c r="M199" s="6">
        <v>0</v>
      </c>
      <c r="N199" s="6">
        <v>8984500</v>
      </c>
    </row>
    <row r="200" spans="1:14" x14ac:dyDescent="0.2">
      <c r="A200" s="4" t="s">
        <v>14</v>
      </c>
      <c r="B200" s="4" t="s">
        <v>204</v>
      </c>
      <c r="C200" s="4">
        <v>194</v>
      </c>
      <c r="D200" s="5">
        <v>45906</v>
      </c>
      <c r="E200" s="4">
        <v>901907732</v>
      </c>
      <c r="F200" s="4" t="s">
        <v>16</v>
      </c>
      <c r="G200" s="4">
        <v>860022343</v>
      </c>
      <c r="H200" s="4" t="s">
        <v>21</v>
      </c>
      <c r="I200" s="6">
        <f t="shared" si="3"/>
        <v>815000</v>
      </c>
      <c r="J200" s="6">
        <v>154850</v>
      </c>
      <c r="K200" s="6">
        <v>0</v>
      </c>
      <c r="L200" s="6">
        <v>0</v>
      </c>
      <c r="M200" s="6">
        <v>0</v>
      </c>
      <c r="N200" s="6">
        <v>969850</v>
      </c>
    </row>
    <row r="201" spans="1:14" x14ac:dyDescent="0.2">
      <c r="A201" s="4" t="s">
        <v>14</v>
      </c>
      <c r="B201" s="4" t="s">
        <v>40</v>
      </c>
      <c r="C201" s="4">
        <v>195</v>
      </c>
      <c r="D201" s="5">
        <v>45906</v>
      </c>
      <c r="E201" s="4">
        <v>901907732</v>
      </c>
      <c r="F201" s="4" t="s">
        <v>16</v>
      </c>
      <c r="G201" s="4">
        <v>901805601</v>
      </c>
      <c r="H201" s="4" t="s">
        <v>38</v>
      </c>
      <c r="I201" s="6">
        <f t="shared" si="3"/>
        <v>75000</v>
      </c>
      <c r="J201" s="6">
        <v>14250</v>
      </c>
      <c r="K201" s="6">
        <v>0</v>
      </c>
      <c r="L201" s="6">
        <v>0</v>
      </c>
      <c r="M201" s="6">
        <v>0</v>
      </c>
      <c r="N201" s="6">
        <v>89250</v>
      </c>
    </row>
    <row r="202" spans="1:14" x14ac:dyDescent="0.2">
      <c r="A202" s="4" t="s">
        <v>14</v>
      </c>
      <c r="B202" s="4" t="s">
        <v>195</v>
      </c>
      <c r="C202" s="4">
        <v>196</v>
      </c>
      <c r="D202" s="5">
        <v>45912</v>
      </c>
      <c r="E202" s="4">
        <v>901907732</v>
      </c>
      <c r="F202" s="4" t="s">
        <v>16</v>
      </c>
      <c r="G202" s="4">
        <v>901174894</v>
      </c>
      <c r="H202" s="4" t="s">
        <v>196</v>
      </c>
      <c r="I202" s="6">
        <f t="shared" si="3"/>
        <v>940000</v>
      </c>
      <c r="J202" s="6">
        <v>0</v>
      </c>
      <c r="K202" s="6">
        <v>0</v>
      </c>
      <c r="L202" s="6">
        <v>0</v>
      </c>
      <c r="M202" s="6">
        <v>0</v>
      </c>
      <c r="N202" s="6">
        <v>940000</v>
      </c>
    </row>
    <row r="203" spans="1:14" x14ac:dyDescent="0.2">
      <c r="A203" s="4" t="s">
        <v>14</v>
      </c>
      <c r="B203" s="4" t="s">
        <v>193</v>
      </c>
      <c r="C203" s="4">
        <v>197</v>
      </c>
      <c r="D203" s="5">
        <v>45916</v>
      </c>
      <c r="E203" s="4">
        <v>901907732</v>
      </c>
      <c r="F203" s="4" t="s">
        <v>16</v>
      </c>
      <c r="G203" s="4">
        <v>811000784</v>
      </c>
      <c r="H203" s="4" t="s">
        <v>33</v>
      </c>
      <c r="I203" s="6">
        <f t="shared" si="3"/>
        <v>6659000</v>
      </c>
      <c r="J203" s="6">
        <v>803510</v>
      </c>
      <c r="K203" s="6">
        <v>0</v>
      </c>
      <c r="L203" s="6">
        <v>0</v>
      </c>
      <c r="M203" s="6">
        <v>0</v>
      </c>
      <c r="N203" s="6">
        <v>7462510</v>
      </c>
    </row>
    <row r="204" spans="1:14" x14ac:dyDescent="0.2">
      <c r="A204" s="4" t="s">
        <v>14</v>
      </c>
      <c r="B204" s="4" t="s">
        <v>86</v>
      </c>
      <c r="C204" s="4">
        <v>198</v>
      </c>
      <c r="D204" s="5">
        <v>45916</v>
      </c>
      <c r="E204" s="4">
        <v>901907732</v>
      </c>
      <c r="F204" s="4" t="s">
        <v>16</v>
      </c>
      <c r="G204" s="4">
        <v>901495799</v>
      </c>
      <c r="H204" s="4" t="s">
        <v>17</v>
      </c>
      <c r="I204" s="6">
        <f t="shared" si="3"/>
        <v>3200000</v>
      </c>
      <c r="J204" s="6">
        <v>608000</v>
      </c>
      <c r="K204" s="6">
        <v>0</v>
      </c>
      <c r="L204" s="6">
        <v>0</v>
      </c>
      <c r="M204" s="6">
        <v>0</v>
      </c>
      <c r="N204" s="6">
        <v>3808000</v>
      </c>
    </row>
    <row r="205" spans="1:14" x14ac:dyDescent="0.2">
      <c r="A205" s="4" t="s">
        <v>14</v>
      </c>
      <c r="B205" s="4" t="s">
        <v>41</v>
      </c>
      <c r="C205" s="4">
        <v>199</v>
      </c>
      <c r="D205" s="5">
        <v>45917</v>
      </c>
      <c r="E205" s="4">
        <v>901907732</v>
      </c>
      <c r="F205" s="4" t="s">
        <v>16</v>
      </c>
      <c r="G205" s="4">
        <v>901805601</v>
      </c>
      <c r="H205" s="4" t="s">
        <v>38</v>
      </c>
      <c r="I205" s="6">
        <f t="shared" si="3"/>
        <v>1050000</v>
      </c>
      <c r="J205" s="6">
        <v>199500</v>
      </c>
      <c r="K205" s="6">
        <v>0</v>
      </c>
      <c r="L205" s="6">
        <v>0</v>
      </c>
      <c r="M205" s="6">
        <v>0</v>
      </c>
      <c r="N205" s="6">
        <v>1249500</v>
      </c>
    </row>
    <row r="206" spans="1:14" x14ac:dyDescent="0.2">
      <c r="A206" s="4" t="s">
        <v>14</v>
      </c>
      <c r="B206" s="4" t="s">
        <v>192</v>
      </c>
      <c r="C206" s="4">
        <v>200</v>
      </c>
      <c r="D206" s="5">
        <v>45917</v>
      </c>
      <c r="E206" s="4">
        <v>901907732</v>
      </c>
      <c r="F206" s="4" t="s">
        <v>16</v>
      </c>
      <c r="G206" s="4">
        <v>901344156</v>
      </c>
      <c r="H206" s="4" t="s">
        <v>23</v>
      </c>
      <c r="I206" s="6">
        <f t="shared" si="3"/>
        <v>1800000</v>
      </c>
      <c r="J206" s="6">
        <v>0</v>
      </c>
      <c r="K206" s="6">
        <v>0</v>
      </c>
      <c r="L206" s="6">
        <v>0</v>
      </c>
      <c r="M206" s="6">
        <v>0</v>
      </c>
      <c r="N206" s="6">
        <v>1800000</v>
      </c>
    </row>
    <row r="207" spans="1:14" x14ac:dyDescent="0.2">
      <c r="A207" s="4" t="s">
        <v>14</v>
      </c>
      <c r="B207" s="4" t="s">
        <v>191</v>
      </c>
      <c r="C207" s="4">
        <v>201</v>
      </c>
      <c r="D207" s="5">
        <v>45917</v>
      </c>
      <c r="E207" s="4">
        <v>901907732</v>
      </c>
      <c r="F207" s="4" t="s">
        <v>16</v>
      </c>
      <c r="G207" s="4">
        <v>890910970</v>
      </c>
      <c r="H207" s="4" t="s">
        <v>25</v>
      </c>
      <c r="I207" s="6">
        <f t="shared" si="3"/>
        <v>1713000</v>
      </c>
      <c r="J207" s="6">
        <v>0</v>
      </c>
      <c r="K207" s="6">
        <v>0</v>
      </c>
      <c r="L207" s="6">
        <v>0</v>
      </c>
      <c r="M207" s="6">
        <v>0</v>
      </c>
      <c r="N207" s="6">
        <v>1713000</v>
      </c>
    </row>
    <row r="208" spans="1:14" x14ac:dyDescent="0.2">
      <c r="A208" s="4" t="s">
        <v>14</v>
      </c>
      <c r="B208" s="4" t="s">
        <v>127</v>
      </c>
      <c r="C208" s="4">
        <v>202</v>
      </c>
      <c r="D208" s="5">
        <v>45922</v>
      </c>
      <c r="E208" s="4">
        <v>901907732</v>
      </c>
      <c r="F208" s="4" t="s">
        <v>16</v>
      </c>
      <c r="G208" s="4">
        <v>901225179</v>
      </c>
      <c r="H208" s="4" t="s">
        <v>126</v>
      </c>
      <c r="I208" s="6">
        <f t="shared" si="3"/>
        <v>868854</v>
      </c>
      <c r="J208" s="6">
        <v>0</v>
      </c>
      <c r="K208" s="6">
        <v>0</v>
      </c>
      <c r="L208" s="6">
        <v>0</v>
      </c>
      <c r="M208" s="6">
        <v>0</v>
      </c>
      <c r="N208" s="6">
        <v>868854</v>
      </c>
    </row>
    <row r="209" spans="1:14" x14ac:dyDescent="0.2">
      <c r="A209" s="4" t="s">
        <v>14</v>
      </c>
      <c r="B209" s="4" t="s">
        <v>190</v>
      </c>
      <c r="C209" s="4">
        <v>203</v>
      </c>
      <c r="D209" s="5">
        <v>45923</v>
      </c>
      <c r="E209" s="4">
        <v>901907732</v>
      </c>
      <c r="F209" s="4" t="s">
        <v>16</v>
      </c>
      <c r="G209" s="4">
        <v>860022343</v>
      </c>
      <c r="H209" s="4" t="s">
        <v>21</v>
      </c>
      <c r="I209" s="6">
        <f t="shared" si="3"/>
        <v>300000</v>
      </c>
      <c r="J209" s="6">
        <v>57000</v>
      </c>
      <c r="K209" s="6">
        <v>0</v>
      </c>
      <c r="L209" s="6">
        <v>0</v>
      </c>
      <c r="M209" s="6">
        <v>0</v>
      </c>
      <c r="N209" s="6">
        <v>357000</v>
      </c>
    </row>
    <row r="210" spans="1:14" x14ac:dyDescent="0.2">
      <c r="A210" s="4" t="s">
        <v>14</v>
      </c>
      <c r="B210" s="4" t="s">
        <v>189</v>
      </c>
      <c r="C210" s="4">
        <v>204</v>
      </c>
      <c r="D210" s="5">
        <v>45925</v>
      </c>
      <c r="E210" s="4">
        <v>901907732</v>
      </c>
      <c r="F210" s="4" t="s">
        <v>16</v>
      </c>
      <c r="G210" s="4">
        <v>890910970</v>
      </c>
      <c r="H210" s="4" t="s">
        <v>25</v>
      </c>
      <c r="I210" s="6">
        <f t="shared" si="3"/>
        <v>700500</v>
      </c>
      <c r="J210" s="6">
        <v>133095</v>
      </c>
      <c r="K210" s="6">
        <v>0</v>
      </c>
      <c r="L210" s="6">
        <v>0</v>
      </c>
      <c r="M210" s="6">
        <v>0</v>
      </c>
      <c r="N210" s="6">
        <v>833595</v>
      </c>
    </row>
    <row r="211" spans="1:14" x14ac:dyDescent="0.2">
      <c r="A211" s="4" t="s">
        <v>14</v>
      </c>
      <c r="B211" s="4" t="s">
        <v>188</v>
      </c>
      <c r="C211" s="4">
        <v>205</v>
      </c>
      <c r="D211" s="5">
        <v>45925</v>
      </c>
      <c r="E211" s="4">
        <v>901907732</v>
      </c>
      <c r="F211" s="4" t="s">
        <v>16</v>
      </c>
      <c r="G211" s="4">
        <v>901344156</v>
      </c>
      <c r="H211" s="4" t="s">
        <v>23</v>
      </c>
      <c r="I211" s="6">
        <f t="shared" si="3"/>
        <v>467000</v>
      </c>
      <c r="J211" s="6">
        <v>88730</v>
      </c>
      <c r="K211" s="6">
        <v>0</v>
      </c>
      <c r="L211" s="6">
        <v>0</v>
      </c>
      <c r="M211" s="6">
        <v>0</v>
      </c>
      <c r="N211" s="6">
        <v>555730</v>
      </c>
    </row>
    <row r="212" spans="1:14" x14ac:dyDescent="0.2">
      <c r="A212" s="4" t="s">
        <v>14</v>
      </c>
      <c r="B212" s="4" t="s">
        <v>187</v>
      </c>
      <c r="C212" s="4">
        <v>206</v>
      </c>
      <c r="D212" s="5">
        <v>45931</v>
      </c>
      <c r="E212" s="4">
        <v>901907732</v>
      </c>
      <c r="F212" s="4" t="s">
        <v>16</v>
      </c>
      <c r="G212" s="4">
        <v>901446911</v>
      </c>
      <c r="H212" s="4" t="s">
        <v>76</v>
      </c>
      <c r="I212" s="6">
        <f t="shared" si="3"/>
        <v>169326</v>
      </c>
      <c r="J212" s="6">
        <v>0</v>
      </c>
      <c r="K212" s="6">
        <v>0</v>
      </c>
      <c r="L212" s="6">
        <v>0</v>
      </c>
      <c r="M212" s="6">
        <v>0</v>
      </c>
      <c r="N212" s="6">
        <v>169326</v>
      </c>
    </row>
    <row r="213" spans="1:14" x14ac:dyDescent="0.2">
      <c r="A213" s="4" t="s">
        <v>14</v>
      </c>
      <c r="B213" s="4" t="s">
        <v>85</v>
      </c>
      <c r="C213" s="4">
        <v>207</v>
      </c>
      <c r="D213" s="5">
        <v>45931</v>
      </c>
      <c r="E213" s="4">
        <v>901907732</v>
      </c>
      <c r="F213" s="4" t="s">
        <v>16</v>
      </c>
      <c r="G213" s="4">
        <v>901495799</v>
      </c>
      <c r="H213" s="4" t="s">
        <v>17</v>
      </c>
      <c r="I213" s="6">
        <f t="shared" si="3"/>
        <v>2600000</v>
      </c>
      <c r="J213" s="6">
        <v>494000</v>
      </c>
      <c r="K213" s="6">
        <v>0</v>
      </c>
      <c r="L213" s="6">
        <v>0</v>
      </c>
      <c r="M213" s="6">
        <v>0</v>
      </c>
      <c r="N213" s="6">
        <v>3094000</v>
      </c>
    </row>
    <row r="214" spans="1:14" x14ac:dyDescent="0.2">
      <c r="A214" s="4" t="s">
        <v>14</v>
      </c>
      <c r="B214" s="4" t="s">
        <v>186</v>
      </c>
      <c r="C214" s="4">
        <v>208</v>
      </c>
      <c r="D214" s="5">
        <v>45931</v>
      </c>
      <c r="E214" s="4">
        <v>901907732</v>
      </c>
      <c r="F214" s="4" t="s">
        <v>16</v>
      </c>
      <c r="G214" s="4">
        <v>900643097</v>
      </c>
      <c r="H214" s="4" t="s">
        <v>36</v>
      </c>
      <c r="I214" s="6">
        <f t="shared" si="3"/>
        <v>2094236.9999999998</v>
      </c>
      <c r="J214" s="6">
        <v>285637.07</v>
      </c>
      <c r="K214" s="6">
        <v>0</v>
      </c>
      <c r="L214" s="6">
        <v>0</v>
      </c>
      <c r="M214" s="6">
        <v>0</v>
      </c>
      <c r="N214" s="6">
        <v>2379874.0699999998</v>
      </c>
    </row>
    <row r="215" spans="1:14" x14ac:dyDescent="0.2">
      <c r="A215" s="4" t="s">
        <v>14</v>
      </c>
      <c r="B215" s="4" t="s">
        <v>185</v>
      </c>
      <c r="C215" s="4">
        <v>209</v>
      </c>
      <c r="D215" s="5">
        <v>45931</v>
      </c>
      <c r="E215" s="4">
        <v>901907732</v>
      </c>
      <c r="F215" s="4" t="s">
        <v>16</v>
      </c>
      <c r="G215" s="4">
        <v>901428649</v>
      </c>
      <c r="H215" s="4" t="s">
        <v>72</v>
      </c>
      <c r="I215" s="6">
        <f t="shared" si="3"/>
        <v>903072</v>
      </c>
      <c r="J215" s="6">
        <v>0</v>
      </c>
      <c r="K215" s="6">
        <v>0</v>
      </c>
      <c r="L215" s="6">
        <v>0</v>
      </c>
      <c r="M215" s="6">
        <v>0</v>
      </c>
      <c r="N215" s="6">
        <v>903072</v>
      </c>
    </row>
    <row r="216" spans="1:14" x14ac:dyDescent="0.2">
      <c r="A216" s="4" t="s">
        <v>14</v>
      </c>
      <c r="B216" s="4" t="s">
        <v>184</v>
      </c>
      <c r="C216" s="4">
        <v>210</v>
      </c>
      <c r="D216" s="5">
        <v>45931</v>
      </c>
      <c r="E216" s="4">
        <v>901907732</v>
      </c>
      <c r="F216" s="4" t="s">
        <v>16</v>
      </c>
      <c r="G216" s="4">
        <v>901105552</v>
      </c>
      <c r="H216" s="4" t="s">
        <v>69</v>
      </c>
      <c r="I216" s="6">
        <f t="shared" si="3"/>
        <v>5870978</v>
      </c>
      <c r="J216" s="6">
        <v>0</v>
      </c>
      <c r="K216" s="6">
        <v>0</v>
      </c>
      <c r="L216" s="6">
        <v>0</v>
      </c>
      <c r="M216" s="6">
        <v>0</v>
      </c>
      <c r="N216" s="6">
        <v>5870978</v>
      </c>
    </row>
    <row r="217" spans="1:14" x14ac:dyDescent="0.2">
      <c r="A217" s="4" t="s">
        <v>14</v>
      </c>
      <c r="B217" s="4" t="s">
        <v>183</v>
      </c>
      <c r="C217" s="4">
        <v>211</v>
      </c>
      <c r="D217" s="5">
        <v>45931</v>
      </c>
      <c r="E217" s="4">
        <v>901907732</v>
      </c>
      <c r="F217" s="4" t="s">
        <v>16</v>
      </c>
      <c r="G217" s="4">
        <v>901105552</v>
      </c>
      <c r="H217" s="4" t="s">
        <v>69</v>
      </c>
      <c r="I217" s="6">
        <f t="shared" si="3"/>
        <v>2435000</v>
      </c>
      <c r="J217" s="6">
        <v>0</v>
      </c>
      <c r="K217" s="6">
        <v>0</v>
      </c>
      <c r="L217" s="6">
        <v>0</v>
      </c>
      <c r="M217" s="6">
        <v>0</v>
      </c>
      <c r="N217" s="6">
        <v>2435000</v>
      </c>
    </row>
    <row r="218" spans="1:14" x14ac:dyDescent="0.2">
      <c r="A218" s="4" t="s">
        <v>14</v>
      </c>
      <c r="B218" s="4" t="s">
        <v>182</v>
      </c>
      <c r="C218" s="4">
        <v>212</v>
      </c>
      <c r="D218" s="5">
        <v>45931</v>
      </c>
      <c r="E218" s="4">
        <v>901907732</v>
      </c>
      <c r="F218" s="4" t="s">
        <v>16</v>
      </c>
      <c r="G218" s="4">
        <v>900208742</v>
      </c>
      <c r="H218" s="4" t="s">
        <v>67</v>
      </c>
      <c r="I218" s="6">
        <f t="shared" si="3"/>
        <v>200000</v>
      </c>
      <c r="J218" s="6">
        <v>0</v>
      </c>
      <c r="K218" s="6">
        <v>0</v>
      </c>
      <c r="L218" s="6">
        <v>0</v>
      </c>
      <c r="M218" s="6">
        <v>0</v>
      </c>
      <c r="N218" s="6">
        <v>200000</v>
      </c>
    </row>
    <row r="219" spans="1:14" x14ac:dyDescent="0.2">
      <c r="A219" s="4" t="s">
        <v>14</v>
      </c>
      <c r="B219" s="4" t="s">
        <v>181</v>
      </c>
      <c r="C219" s="4">
        <v>213</v>
      </c>
      <c r="D219" s="5">
        <v>45931</v>
      </c>
      <c r="E219" s="4">
        <v>901907732</v>
      </c>
      <c r="F219" s="4" t="s">
        <v>16</v>
      </c>
      <c r="G219" s="4">
        <v>811000784</v>
      </c>
      <c r="H219" s="4" t="s">
        <v>33</v>
      </c>
      <c r="I219" s="6">
        <f t="shared" si="3"/>
        <v>1535677.47</v>
      </c>
      <c r="J219" s="6">
        <v>0</v>
      </c>
      <c r="K219" s="6">
        <v>0</v>
      </c>
      <c r="L219" s="6">
        <v>0</v>
      </c>
      <c r="M219" s="6">
        <v>0</v>
      </c>
      <c r="N219" s="6">
        <v>1535677.47</v>
      </c>
    </row>
    <row r="220" spans="1:14" x14ac:dyDescent="0.2">
      <c r="A220" s="4" t="s">
        <v>14</v>
      </c>
      <c r="B220" s="4" t="s">
        <v>180</v>
      </c>
      <c r="C220" s="4">
        <v>214</v>
      </c>
      <c r="D220" s="5">
        <v>45931</v>
      </c>
      <c r="E220" s="4">
        <v>901907732</v>
      </c>
      <c r="F220" s="4" t="s">
        <v>16</v>
      </c>
      <c r="G220" s="4">
        <v>811000784</v>
      </c>
      <c r="H220" s="4" t="s">
        <v>33</v>
      </c>
      <c r="I220" s="6">
        <f t="shared" si="3"/>
        <v>2105000</v>
      </c>
      <c r="J220" s="6">
        <v>399950</v>
      </c>
      <c r="K220" s="6">
        <v>0</v>
      </c>
      <c r="L220" s="6">
        <v>0</v>
      </c>
      <c r="M220" s="6">
        <v>0</v>
      </c>
      <c r="N220" s="6">
        <v>2504950</v>
      </c>
    </row>
    <row r="221" spans="1:14" x14ac:dyDescent="0.2">
      <c r="A221" s="4" t="s">
        <v>14</v>
      </c>
      <c r="B221" s="4" t="s">
        <v>179</v>
      </c>
      <c r="C221" s="4">
        <v>215</v>
      </c>
      <c r="D221" s="5">
        <v>45931</v>
      </c>
      <c r="E221" s="4">
        <v>901907732</v>
      </c>
      <c r="F221" s="4" t="s">
        <v>16</v>
      </c>
      <c r="G221" s="4">
        <v>811000784</v>
      </c>
      <c r="H221" s="4" t="s">
        <v>33</v>
      </c>
      <c r="I221" s="6">
        <f t="shared" si="3"/>
        <v>280000</v>
      </c>
      <c r="J221" s="6">
        <v>0</v>
      </c>
      <c r="K221" s="6">
        <v>0</v>
      </c>
      <c r="L221" s="6">
        <v>0</v>
      </c>
      <c r="M221" s="6">
        <v>0</v>
      </c>
      <c r="N221" s="6">
        <v>280000</v>
      </c>
    </row>
    <row r="222" spans="1:14" x14ac:dyDescent="0.2">
      <c r="A222" s="4" t="s">
        <v>14</v>
      </c>
      <c r="B222" s="4" t="s">
        <v>178</v>
      </c>
      <c r="C222" s="4">
        <v>216</v>
      </c>
      <c r="D222" s="5">
        <v>45931</v>
      </c>
      <c r="E222" s="4">
        <v>901907732</v>
      </c>
      <c r="F222" s="4" t="s">
        <v>16</v>
      </c>
      <c r="G222" s="4">
        <v>811000784</v>
      </c>
      <c r="H222" s="4" t="s">
        <v>33</v>
      </c>
      <c r="I222" s="6">
        <f t="shared" si="3"/>
        <v>2034000</v>
      </c>
      <c r="J222" s="6">
        <v>386460</v>
      </c>
      <c r="K222" s="6">
        <v>0</v>
      </c>
      <c r="L222" s="6">
        <v>0</v>
      </c>
      <c r="M222" s="6">
        <v>0</v>
      </c>
      <c r="N222" s="6">
        <v>2420460</v>
      </c>
    </row>
    <row r="223" spans="1:14" x14ac:dyDescent="0.2">
      <c r="A223" s="4" t="s">
        <v>14</v>
      </c>
      <c r="B223" s="4" t="s">
        <v>177</v>
      </c>
      <c r="C223" s="4">
        <v>217</v>
      </c>
      <c r="D223" s="5">
        <v>45931</v>
      </c>
      <c r="E223" s="4">
        <v>901907732</v>
      </c>
      <c r="F223" s="4" t="s">
        <v>16</v>
      </c>
      <c r="G223" s="4">
        <v>860022343</v>
      </c>
      <c r="H223" s="4" t="s">
        <v>21</v>
      </c>
      <c r="I223" s="6">
        <f t="shared" si="3"/>
        <v>1950000</v>
      </c>
      <c r="J223" s="6">
        <v>370500</v>
      </c>
      <c r="K223" s="6">
        <v>0</v>
      </c>
      <c r="L223" s="6">
        <v>0</v>
      </c>
      <c r="M223" s="6">
        <v>0</v>
      </c>
      <c r="N223" s="6">
        <v>2320500</v>
      </c>
    </row>
    <row r="224" spans="1:14" x14ac:dyDescent="0.2">
      <c r="A224" s="4" t="s">
        <v>14</v>
      </c>
      <c r="B224" s="4" t="s">
        <v>176</v>
      </c>
      <c r="C224" s="4">
        <v>218</v>
      </c>
      <c r="D224" s="5">
        <v>45931</v>
      </c>
      <c r="E224" s="4">
        <v>901907732</v>
      </c>
      <c r="F224" s="4" t="s">
        <v>16</v>
      </c>
      <c r="G224" s="4">
        <v>901193232</v>
      </c>
      <c r="H224" s="4" t="s">
        <v>62</v>
      </c>
      <c r="I224" s="6">
        <f t="shared" si="3"/>
        <v>192485</v>
      </c>
      <c r="J224" s="6">
        <v>0</v>
      </c>
      <c r="K224" s="6">
        <v>0</v>
      </c>
      <c r="L224" s="6">
        <v>0</v>
      </c>
      <c r="M224" s="6">
        <v>0</v>
      </c>
      <c r="N224" s="6">
        <v>192485</v>
      </c>
    </row>
    <row r="225" spans="1:14" x14ac:dyDescent="0.2">
      <c r="A225" s="4" t="s">
        <v>14</v>
      </c>
      <c r="B225" s="4" t="s">
        <v>175</v>
      </c>
      <c r="C225" s="4">
        <v>219</v>
      </c>
      <c r="D225" s="5">
        <v>45931</v>
      </c>
      <c r="E225" s="4">
        <v>901907732</v>
      </c>
      <c r="F225" s="4" t="s">
        <v>16</v>
      </c>
      <c r="G225" s="4">
        <v>900383497</v>
      </c>
      <c r="H225" s="4" t="s">
        <v>60</v>
      </c>
      <c r="I225" s="6">
        <f t="shared" si="3"/>
        <v>432627</v>
      </c>
      <c r="J225" s="6">
        <v>0</v>
      </c>
      <c r="K225" s="6">
        <v>0</v>
      </c>
      <c r="L225" s="6">
        <v>0</v>
      </c>
      <c r="M225" s="6">
        <v>0</v>
      </c>
      <c r="N225" s="6">
        <v>432627</v>
      </c>
    </row>
    <row r="226" spans="1:14" x14ac:dyDescent="0.2">
      <c r="A226" s="4" t="s">
        <v>14</v>
      </c>
      <c r="B226" s="4" t="s">
        <v>174</v>
      </c>
      <c r="C226" s="4">
        <v>220</v>
      </c>
      <c r="D226" s="5">
        <v>45931</v>
      </c>
      <c r="E226" s="4">
        <v>901907732</v>
      </c>
      <c r="F226" s="4" t="s">
        <v>16</v>
      </c>
      <c r="G226" s="4">
        <v>901774691</v>
      </c>
      <c r="H226" s="4" t="s">
        <v>58</v>
      </c>
      <c r="I226" s="6">
        <f t="shared" si="3"/>
        <v>365781</v>
      </c>
      <c r="J226" s="6">
        <v>0</v>
      </c>
      <c r="K226" s="6">
        <v>0</v>
      </c>
      <c r="L226" s="6">
        <v>0</v>
      </c>
      <c r="M226" s="6">
        <v>0</v>
      </c>
      <c r="N226" s="6">
        <v>365781</v>
      </c>
    </row>
    <row r="227" spans="1:14" x14ac:dyDescent="0.2">
      <c r="A227" s="4" t="s">
        <v>14</v>
      </c>
      <c r="B227" s="4" t="s">
        <v>169</v>
      </c>
      <c r="C227" s="4">
        <v>221</v>
      </c>
      <c r="D227" s="5">
        <v>45931</v>
      </c>
      <c r="E227" s="4">
        <v>901907732</v>
      </c>
      <c r="F227" s="4" t="s">
        <v>16</v>
      </c>
      <c r="G227" s="4">
        <v>830087371</v>
      </c>
      <c r="H227" s="4" t="s">
        <v>162</v>
      </c>
      <c r="I227" s="6">
        <f t="shared" si="3"/>
        <v>1481844</v>
      </c>
      <c r="J227" s="6">
        <v>0</v>
      </c>
      <c r="K227" s="6">
        <v>0</v>
      </c>
      <c r="L227" s="6">
        <v>0</v>
      </c>
      <c r="M227" s="6">
        <v>0</v>
      </c>
      <c r="N227" s="6">
        <v>1481844</v>
      </c>
    </row>
    <row r="228" spans="1:14" x14ac:dyDescent="0.2">
      <c r="A228" s="4" t="s">
        <v>14</v>
      </c>
      <c r="B228" s="4" t="s">
        <v>173</v>
      </c>
      <c r="C228" s="4">
        <v>222</v>
      </c>
      <c r="D228" s="5">
        <v>45931</v>
      </c>
      <c r="E228" s="4">
        <v>901907732</v>
      </c>
      <c r="F228" s="4" t="s">
        <v>16</v>
      </c>
      <c r="G228" s="4">
        <v>811044610</v>
      </c>
      <c r="H228" s="4" t="s">
        <v>54</v>
      </c>
      <c r="I228" s="6">
        <f t="shared" si="3"/>
        <v>645500</v>
      </c>
      <c r="J228" s="6">
        <v>122645</v>
      </c>
      <c r="K228" s="6">
        <v>0</v>
      </c>
      <c r="L228" s="6">
        <v>0</v>
      </c>
      <c r="M228" s="6">
        <v>0</v>
      </c>
      <c r="N228" s="6">
        <v>768145</v>
      </c>
    </row>
    <row r="229" spans="1:14" x14ac:dyDescent="0.2">
      <c r="A229" s="4" t="s">
        <v>14</v>
      </c>
      <c r="B229" s="4" t="s">
        <v>172</v>
      </c>
      <c r="C229" s="4">
        <v>223</v>
      </c>
      <c r="D229" s="5">
        <v>45931</v>
      </c>
      <c r="E229" s="4">
        <v>901907732</v>
      </c>
      <c r="F229" s="4" t="s">
        <v>16</v>
      </c>
      <c r="G229" s="4">
        <v>811026805</v>
      </c>
      <c r="H229" s="4" t="s">
        <v>52</v>
      </c>
      <c r="I229" s="6">
        <f t="shared" si="3"/>
        <v>550000</v>
      </c>
      <c r="J229" s="6">
        <v>104500</v>
      </c>
      <c r="K229" s="6">
        <v>0</v>
      </c>
      <c r="L229" s="6">
        <v>0</v>
      </c>
      <c r="M229" s="6">
        <v>0</v>
      </c>
      <c r="N229" s="6">
        <v>654500</v>
      </c>
    </row>
    <row r="230" spans="1:14" x14ac:dyDescent="0.2">
      <c r="A230" s="4" t="s">
        <v>14</v>
      </c>
      <c r="B230" s="4" t="s">
        <v>171</v>
      </c>
      <c r="C230" s="4">
        <v>224</v>
      </c>
      <c r="D230" s="5">
        <v>45931</v>
      </c>
      <c r="E230" s="4">
        <v>901907732</v>
      </c>
      <c r="F230" s="4" t="s">
        <v>16</v>
      </c>
      <c r="G230" s="4">
        <v>900688446</v>
      </c>
      <c r="H230" s="4" t="s">
        <v>47</v>
      </c>
      <c r="I230" s="6">
        <f t="shared" si="3"/>
        <v>1275282</v>
      </c>
      <c r="J230" s="6">
        <v>17100</v>
      </c>
      <c r="K230" s="6">
        <v>0</v>
      </c>
      <c r="L230" s="6">
        <v>0</v>
      </c>
      <c r="M230" s="6">
        <v>0</v>
      </c>
      <c r="N230" s="6">
        <v>1292382</v>
      </c>
    </row>
    <row r="231" spans="1:14" x14ac:dyDescent="0.2">
      <c r="A231" s="4" t="s">
        <v>14</v>
      </c>
      <c r="B231" s="4" t="s">
        <v>166</v>
      </c>
      <c r="C231" s="4">
        <v>225</v>
      </c>
      <c r="D231" s="5">
        <v>45931</v>
      </c>
      <c r="E231" s="4">
        <v>901907732</v>
      </c>
      <c r="F231" s="4" t="s">
        <v>16</v>
      </c>
      <c r="G231" s="4">
        <v>811017918</v>
      </c>
      <c r="H231" s="4" t="s">
        <v>19</v>
      </c>
      <c r="I231" s="6">
        <f t="shared" si="3"/>
        <v>900000</v>
      </c>
      <c r="J231" s="6">
        <v>171000</v>
      </c>
      <c r="K231" s="6">
        <v>0</v>
      </c>
      <c r="L231" s="6">
        <v>0</v>
      </c>
      <c r="M231" s="6">
        <v>0</v>
      </c>
      <c r="N231" s="6">
        <v>1071000</v>
      </c>
    </row>
    <row r="232" spans="1:14" x14ac:dyDescent="0.2">
      <c r="A232" s="4" t="s">
        <v>14</v>
      </c>
      <c r="B232" s="4" t="s">
        <v>167</v>
      </c>
      <c r="C232" s="4">
        <v>226</v>
      </c>
      <c r="D232" s="5">
        <v>45931</v>
      </c>
      <c r="E232" s="4">
        <v>901907732</v>
      </c>
      <c r="F232" s="4" t="s">
        <v>16</v>
      </c>
      <c r="G232" s="4">
        <v>811017918</v>
      </c>
      <c r="H232" s="4" t="s">
        <v>19</v>
      </c>
      <c r="I232" s="6">
        <f t="shared" si="3"/>
        <v>703000</v>
      </c>
      <c r="J232" s="6">
        <v>133570</v>
      </c>
      <c r="K232" s="6">
        <v>0</v>
      </c>
      <c r="L232" s="6">
        <v>0</v>
      </c>
      <c r="M232" s="6">
        <v>0</v>
      </c>
      <c r="N232" s="6">
        <v>836570</v>
      </c>
    </row>
    <row r="233" spans="1:14" x14ac:dyDescent="0.2">
      <c r="A233" s="4" t="s">
        <v>14</v>
      </c>
      <c r="B233" s="4" t="s">
        <v>168</v>
      </c>
      <c r="C233" s="4">
        <v>227</v>
      </c>
      <c r="D233" s="5">
        <v>45931</v>
      </c>
      <c r="E233" s="4">
        <v>901907732</v>
      </c>
      <c r="F233" s="4" t="s">
        <v>16</v>
      </c>
      <c r="G233" s="4">
        <v>811017918</v>
      </c>
      <c r="H233" s="4" t="s">
        <v>19</v>
      </c>
      <c r="I233" s="6">
        <f t="shared" si="3"/>
        <v>105000</v>
      </c>
      <c r="J233" s="6">
        <v>19950</v>
      </c>
      <c r="K233" s="6">
        <v>0</v>
      </c>
      <c r="L233" s="6">
        <v>0</v>
      </c>
      <c r="M233" s="6">
        <v>0</v>
      </c>
      <c r="N233" s="6">
        <v>124950</v>
      </c>
    </row>
    <row r="234" spans="1:14" x14ac:dyDescent="0.2">
      <c r="A234" s="4" t="s">
        <v>14</v>
      </c>
      <c r="B234" s="4" t="s">
        <v>170</v>
      </c>
      <c r="C234" s="4">
        <v>228</v>
      </c>
      <c r="D234" s="5">
        <v>45931</v>
      </c>
      <c r="E234" s="4">
        <v>901907732</v>
      </c>
      <c r="F234" s="4" t="s">
        <v>16</v>
      </c>
      <c r="G234" s="4">
        <v>890910970</v>
      </c>
      <c r="H234" s="4" t="s">
        <v>25</v>
      </c>
      <c r="I234" s="6">
        <f t="shared" si="3"/>
        <v>1400000</v>
      </c>
      <c r="J234" s="6">
        <v>266000</v>
      </c>
      <c r="K234" s="6">
        <v>0</v>
      </c>
      <c r="L234" s="6">
        <v>0</v>
      </c>
      <c r="M234" s="6">
        <v>0</v>
      </c>
      <c r="N234" s="6">
        <v>1666000</v>
      </c>
    </row>
    <row r="235" spans="1:14" x14ac:dyDescent="0.2">
      <c r="A235" s="4" t="s">
        <v>14</v>
      </c>
      <c r="B235" s="4" t="s">
        <v>163</v>
      </c>
      <c r="C235" s="4">
        <v>229</v>
      </c>
      <c r="D235" s="5">
        <v>45939</v>
      </c>
      <c r="E235" s="4">
        <v>901907732</v>
      </c>
      <c r="F235" s="4" t="s">
        <v>16</v>
      </c>
      <c r="G235" s="4">
        <v>830087371</v>
      </c>
      <c r="H235" s="4" t="s">
        <v>162</v>
      </c>
      <c r="I235" s="6">
        <f t="shared" si="3"/>
        <v>16875000</v>
      </c>
      <c r="J235" s="6">
        <v>0</v>
      </c>
      <c r="K235" s="6">
        <v>0</v>
      </c>
      <c r="L235" s="6">
        <v>0</v>
      </c>
      <c r="M235" s="6">
        <v>0</v>
      </c>
      <c r="N235" s="6">
        <v>16875000</v>
      </c>
    </row>
    <row r="236" spans="1:14" x14ac:dyDescent="0.2">
      <c r="A236" s="4" t="s">
        <v>14</v>
      </c>
      <c r="B236" s="4" t="s">
        <v>161</v>
      </c>
      <c r="C236" s="4">
        <v>230</v>
      </c>
      <c r="D236" s="5">
        <v>45940</v>
      </c>
      <c r="E236" s="4">
        <v>901907732</v>
      </c>
      <c r="F236" s="4" t="s">
        <v>16</v>
      </c>
      <c r="G236" s="4">
        <v>830087371</v>
      </c>
      <c r="H236" s="4" t="s">
        <v>162</v>
      </c>
      <c r="I236" s="6">
        <f t="shared" si="3"/>
        <v>14997420</v>
      </c>
      <c r="J236" s="6">
        <v>0</v>
      </c>
      <c r="K236" s="6">
        <v>0</v>
      </c>
      <c r="L236" s="6">
        <v>0</v>
      </c>
      <c r="M236" s="6">
        <v>0</v>
      </c>
      <c r="N236" s="6">
        <v>14997420</v>
      </c>
    </row>
    <row r="237" spans="1:14" x14ac:dyDescent="0.2">
      <c r="A237" s="4" t="s">
        <v>14</v>
      </c>
      <c r="B237" s="4" t="s">
        <v>160</v>
      </c>
      <c r="C237" s="4">
        <v>231</v>
      </c>
      <c r="D237" s="5">
        <v>45947</v>
      </c>
      <c r="E237" s="4">
        <v>901907732</v>
      </c>
      <c r="F237" s="4" t="s">
        <v>16</v>
      </c>
      <c r="G237" s="4">
        <v>811000784</v>
      </c>
      <c r="H237" s="4" t="s">
        <v>33</v>
      </c>
      <c r="I237" s="6">
        <f t="shared" si="3"/>
        <v>435000</v>
      </c>
      <c r="J237" s="6">
        <v>82650</v>
      </c>
      <c r="K237" s="6">
        <v>0</v>
      </c>
      <c r="L237" s="6">
        <v>0</v>
      </c>
      <c r="M237" s="6">
        <v>0</v>
      </c>
      <c r="N237" s="6">
        <v>517650</v>
      </c>
    </row>
    <row r="238" spans="1:14" x14ac:dyDescent="0.2">
      <c r="A238" s="4" t="s">
        <v>14</v>
      </c>
      <c r="B238" s="4" t="s">
        <v>159</v>
      </c>
      <c r="C238" s="4">
        <v>232</v>
      </c>
      <c r="D238" s="5">
        <v>45947</v>
      </c>
      <c r="E238" s="4">
        <v>901907732</v>
      </c>
      <c r="F238" s="4" t="s">
        <v>16</v>
      </c>
      <c r="G238" s="4">
        <v>811000784</v>
      </c>
      <c r="H238" s="4" t="s">
        <v>33</v>
      </c>
      <c r="I238" s="6">
        <f t="shared" si="3"/>
        <v>335000</v>
      </c>
      <c r="J238" s="6">
        <v>63650</v>
      </c>
      <c r="K238" s="6">
        <v>0</v>
      </c>
      <c r="L238" s="6">
        <v>0</v>
      </c>
      <c r="M238" s="6">
        <v>0</v>
      </c>
      <c r="N238" s="6">
        <v>398650</v>
      </c>
    </row>
    <row r="239" spans="1:14" x14ac:dyDescent="0.2">
      <c r="A239" s="4" t="s">
        <v>14</v>
      </c>
      <c r="B239" s="4" t="s">
        <v>104</v>
      </c>
      <c r="C239" s="4">
        <v>233</v>
      </c>
      <c r="D239" s="5">
        <v>45947</v>
      </c>
      <c r="E239" s="4">
        <v>901907732</v>
      </c>
      <c r="F239" s="4" t="s">
        <v>16</v>
      </c>
      <c r="G239" s="4">
        <v>811000784</v>
      </c>
      <c r="H239" s="4" t="s">
        <v>33</v>
      </c>
      <c r="I239" s="6">
        <f t="shared" si="3"/>
        <v>115000</v>
      </c>
      <c r="J239" s="6">
        <v>0</v>
      </c>
      <c r="K239" s="6">
        <v>0</v>
      </c>
      <c r="L239" s="6">
        <v>0</v>
      </c>
      <c r="M239" s="6">
        <v>0</v>
      </c>
      <c r="N239" s="6">
        <v>115000</v>
      </c>
    </row>
    <row r="240" spans="1:14" x14ac:dyDescent="0.2">
      <c r="A240" s="4" t="s">
        <v>14</v>
      </c>
      <c r="B240" s="4" t="s">
        <v>101</v>
      </c>
      <c r="C240" s="4">
        <v>234</v>
      </c>
      <c r="D240" s="5">
        <v>45947</v>
      </c>
      <c r="E240" s="4">
        <v>901907732</v>
      </c>
      <c r="F240" s="4" t="s">
        <v>16</v>
      </c>
      <c r="G240" s="4">
        <v>811000784</v>
      </c>
      <c r="H240" s="4" t="s">
        <v>33</v>
      </c>
      <c r="I240" s="6">
        <f t="shared" si="3"/>
        <v>425000</v>
      </c>
      <c r="J240" s="6">
        <v>80750</v>
      </c>
      <c r="K240" s="6">
        <v>0</v>
      </c>
      <c r="L240" s="6">
        <v>0</v>
      </c>
      <c r="M240" s="6">
        <v>0</v>
      </c>
      <c r="N240" s="6">
        <v>505750</v>
      </c>
    </row>
    <row r="241" spans="1:14" x14ac:dyDescent="0.2">
      <c r="A241" s="4" t="s">
        <v>14</v>
      </c>
      <c r="B241" s="4" t="s">
        <v>100</v>
      </c>
      <c r="C241" s="4">
        <v>235</v>
      </c>
      <c r="D241" s="5">
        <v>45947</v>
      </c>
      <c r="E241" s="4">
        <v>901907732</v>
      </c>
      <c r="F241" s="4" t="s">
        <v>16</v>
      </c>
      <c r="G241" s="4">
        <v>811000784</v>
      </c>
      <c r="H241" s="4" t="s">
        <v>33</v>
      </c>
      <c r="I241" s="6">
        <f t="shared" si="3"/>
        <v>450000</v>
      </c>
      <c r="J241" s="6">
        <v>0</v>
      </c>
      <c r="K241" s="6">
        <v>0</v>
      </c>
      <c r="L241" s="6">
        <v>0</v>
      </c>
      <c r="M241" s="6">
        <v>0</v>
      </c>
      <c r="N241" s="6">
        <v>450000</v>
      </c>
    </row>
    <row r="242" spans="1:14" x14ac:dyDescent="0.2">
      <c r="A242" s="4" t="s">
        <v>14</v>
      </c>
      <c r="B242" s="4" t="s">
        <v>158</v>
      </c>
      <c r="C242" s="4">
        <v>236</v>
      </c>
      <c r="D242" s="5">
        <v>45947</v>
      </c>
      <c r="E242" s="4">
        <v>901907732</v>
      </c>
      <c r="F242" s="4" t="s">
        <v>16</v>
      </c>
      <c r="G242" s="4">
        <v>811000784</v>
      </c>
      <c r="H242" s="4" t="s">
        <v>33</v>
      </c>
      <c r="I242" s="6">
        <f t="shared" si="3"/>
        <v>456000</v>
      </c>
      <c r="J242" s="6">
        <v>86640</v>
      </c>
      <c r="K242" s="6">
        <v>0</v>
      </c>
      <c r="L242" s="6">
        <v>0</v>
      </c>
      <c r="M242" s="6">
        <v>0</v>
      </c>
      <c r="N242" s="6">
        <v>542640</v>
      </c>
    </row>
    <row r="243" spans="1:14" x14ac:dyDescent="0.2">
      <c r="A243" s="4" t="s">
        <v>14</v>
      </c>
      <c r="B243" s="4" t="s">
        <v>155</v>
      </c>
      <c r="C243" s="4">
        <v>237</v>
      </c>
      <c r="D243" s="5">
        <v>45947</v>
      </c>
      <c r="E243" s="4">
        <v>901907732</v>
      </c>
      <c r="F243" s="4" t="s">
        <v>16</v>
      </c>
      <c r="G243" s="4">
        <v>860022343</v>
      </c>
      <c r="H243" s="4" t="s">
        <v>21</v>
      </c>
      <c r="I243" s="6">
        <f t="shared" si="3"/>
        <v>456000</v>
      </c>
      <c r="J243" s="6">
        <v>86640</v>
      </c>
      <c r="K243" s="6">
        <v>0</v>
      </c>
      <c r="L243" s="6">
        <v>0</v>
      </c>
      <c r="M243" s="6">
        <v>0</v>
      </c>
      <c r="N243" s="6">
        <v>542640</v>
      </c>
    </row>
    <row r="244" spans="1:14" x14ac:dyDescent="0.2">
      <c r="A244" s="4" t="s">
        <v>14</v>
      </c>
      <c r="B244" s="4" t="s">
        <v>154</v>
      </c>
      <c r="C244" s="4">
        <v>238</v>
      </c>
      <c r="D244" s="5">
        <v>45955</v>
      </c>
      <c r="E244" s="4">
        <v>901907732</v>
      </c>
      <c r="F244" s="4" t="s">
        <v>16</v>
      </c>
      <c r="G244" s="4">
        <v>890910970</v>
      </c>
      <c r="H244" s="4" t="s">
        <v>25</v>
      </c>
      <c r="I244" s="6">
        <f t="shared" si="3"/>
        <v>2700000</v>
      </c>
      <c r="J244" s="6">
        <v>0</v>
      </c>
      <c r="K244" s="6">
        <v>0</v>
      </c>
      <c r="L244" s="6">
        <v>0</v>
      </c>
      <c r="M244" s="6">
        <v>0</v>
      </c>
      <c r="N244" s="6">
        <v>2700000</v>
      </c>
    </row>
    <row r="245" spans="1:14" x14ac:dyDescent="0.2">
      <c r="A245" s="4" t="s">
        <v>14</v>
      </c>
      <c r="B245" s="4" t="s">
        <v>153</v>
      </c>
      <c r="C245" s="4">
        <v>239</v>
      </c>
      <c r="D245" s="5">
        <v>45955</v>
      </c>
      <c r="E245" s="4">
        <v>901907732</v>
      </c>
      <c r="F245" s="4" t="s">
        <v>16</v>
      </c>
      <c r="G245" s="4">
        <v>901344156</v>
      </c>
      <c r="H245" s="4" t="s">
        <v>23</v>
      </c>
      <c r="I245" s="6">
        <f t="shared" si="3"/>
        <v>1550000</v>
      </c>
      <c r="J245" s="6">
        <v>57000</v>
      </c>
      <c r="K245" s="6">
        <v>0</v>
      </c>
      <c r="L245" s="6">
        <v>0</v>
      </c>
      <c r="M245" s="6">
        <v>0</v>
      </c>
      <c r="N245" s="6">
        <v>1607000</v>
      </c>
    </row>
    <row r="246" spans="1:14" x14ac:dyDescent="0.2">
      <c r="A246" s="4" t="s">
        <v>14</v>
      </c>
      <c r="B246" s="4" t="s">
        <v>150</v>
      </c>
      <c r="C246" s="4">
        <v>240</v>
      </c>
      <c r="D246" s="5">
        <v>45955</v>
      </c>
      <c r="E246" s="4">
        <v>901907732</v>
      </c>
      <c r="F246" s="4" t="s">
        <v>16</v>
      </c>
      <c r="G246" s="4">
        <v>890910970</v>
      </c>
      <c r="H246" s="4" t="s">
        <v>25</v>
      </c>
      <c r="I246" s="6">
        <f t="shared" si="3"/>
        <v>1550000</v>
      </c>
      <c r="J246" s="6">
        <v>0</v>
      </c>
      <c r="K246" s="6">
        <v>0</v>
      </c>
      <c r="L246" s="6">
        <v>0</v>
      </c>
      <c r="M246" s="6">
        <v>0</v>
      </c>
      <c r="N246" s="6">
        <v>1550000</v>
      </c>
    </row>
    <row r="247" spans="1:14" x14ac:dyDescent="0.2">
      <c r="A247" s="4" t="s">
        <v>14</v>
      </c>
      <c r="B247" s="4" t="s">
        <v>147</v>
      </c>
      <c r="C247" s="4">
        <v>241</v>
      </c>
      <c r="D247" s="5">
        <v>45955</v>
      </c>
      <c r="E247" s="4">
        <v>901907732</v>
      </c>
      <c r="F247" s="4" t="s">
        <v>16</v>
      </c>
      <c r="G247" s="4">
        <v>901344156</v>
      </c>
      <c r="H247" s="4" t="s">
        <v>23</v>
      </c>
      <c r="I247" s="6">
        <f t="shared" si="3"/>
        <v>1550000</v>
      </c>
      <c r="J247" s="6">
        <v>57000</v>
      </c>
      <c r="K247" s="6">
        <v>0</v>
      </c>
      <c r="L247" s="6">
        <v>0</v>
      </c>
      <c r="M247" s="6">
        <v>0</v>
      </c>
      <c r="N247" s="6">
        <v>1607000</v>
      </c>
    </row>
    <row r="248" spans="1:14" x14ac:dyDescent="0.2">
      <c r="A248" s="4" t="s">
        <v>14</v>
      </c>
      <c r="B248" s="4" t="s">
        <v>146</v>
      </c>
      <c r="C248" s="4">
        <v>242</v>
      </c>
      <c r="D248" s="5">
        <v>45955</v>
      </c>
      <c r="E248" s="4">
        <v>901907732</v>
      </c>
      <c r="F248" s="4" t="s">
        <v>16</v>
      </c>
      <c r="G248" s="4">
        <v>890910970</v>
      </c>
      <c r="H248" s="4" t="s">
        <v>25</v>
      </c>
      <c r="I248" s="6">
        <f t="shared" si="3"/>
        <v>1164579.83</v>
      </c>
      <c r="J248" s="6">
        <v>221270.17</v>
      </c>
      <c r="K248" s="6">
        <v>0</v>
      </c>
      <c r="L248" s="6">
        <v>0</v>
      </c>
      <c r="M248" s="6">
        <v>0</v>
      </c>
      <c r="N248" s="6">
        <v>1385850</v>
      </c>
    </row>
    <row r="249" spans="1:14" x14ac:dyDescent="0.2">
      <c r="A249" s="4" t="s">
        <v>14</v>
      </c>
      <c r="B249" s="4" t="s">
        <v>144</v>
      </c>
      <c r="C249" s="4">
        <v>243</v>
      </c>
      <c r="D249" s="5">
        <v>45955</v>
      </c>
      <c r="E249" s="4">
        <v>901907732</v>
      </c>
      <c r="F249" s="4" t="s">
        <v>16</v>
      </c>
      <c r="G249" s="4">
        <v>900779955</v>
      </c>
      <c r="H249" s="4" t="s">
        <v>145</v>
      </c>
      <c r="I249" s="6">
        <f t="shared" si="3"/>
        <v>734000</v>
      </c>
      <c r="J249" s="6">
        <v>139460</v>
      </c>
      <c r="K249" s="6">
        <v>0</v>
      </c>
      <c r="L249" s="6">
        <v>0</v>
      </c>
      <c r="M249" s="6">
        <v>0</v>
      </c>
      <c r="N249" s="6">
        <v>873460</v>
      </c>
    </row>
    <row r="250" spans="1:14" x14ac:dyDescent="0.2">
      <c r="A250" s="4" t="s">
        <v>14</v>
      </c>
      <c r="B250" s="4" t="s">
        <v>142</v>
      </c>
      <c r="C250" s="4">
        <v>244</v>
      </c>
      <c r="D250" s="5">
        <v>45955</v>
      </c>
      <c r="E250" s="4">
        <v>901907732</v>
      </c>
      <c r="F250" s="4" t="s">
        <v>16</v>
      </c>
      <c r="G250" s="4">
        <v>901196517</v>
      </c>
      <c r="H250" s="4" t="s">
        <v>143</v>
      </c>
      <c r="I250" s="6">
        <f t="shared" si="3"/>
        <v>840000</v>
      </c>
      <c r="J250" s="6">
        <v>159600</v>
      </c>
      <c r="K250" s="6">
        <v>0</v>
      </c>
      <c r="L250" s="6">
        <v>0</v>
      </c>
      <c r="M250" s="6">
        <v>0</v>
      </c>
      <c r="N250" s="6">
        <v>999600</v>
      </c>
    </row>
    <row r="251" spans="1:14" x14ac:dyDescent="0.2">
      <c r="A251" s="4" t="s">
        <v>14</v>
      </c>
      <c r="B251" s="4" t="s">
        <v>141</v>
      </c>
      <c r="C251" s="4">
        <v>245</v>
      </c>
      <c r="D251" s="5">
        <v>45958</v>
      </c>
      <c r="E251" s="4">
        <v>901907732</v>
      </c>
      <c r="F251" s="4" t="s">
        <v>16</v>
      </c>
      <c r="G251" s="4">
        <v>901344156</v>
      </c>
      <c r="H251" s="4" t="s">
        <v>23</v>
      </c>
      <c r="I251" s="6">
        <f t="shared" si="3"/>
        <v>1896000</v>
      </c>
      <c r="J251" s="6">
        <v>360240</v>
      </c>
      <c r="K251" s="6">
        <v>0</v>
      </c>
      <c r="L251" s="6">
        <v>0</v>
      </c>
      <c r="M251" s="6">
        <v>0</v>
      </c>
      <c r="N251" s="6">
        <v>2256240</v>
      </c>
    </row>
    <row r="252" spans="1:14" x14ac:dyDescent="0.2">
      <c r="A252" s="4" t="s">
        <v>14</v>
      </c>
      <c r="B252" s="4" t="s">
        <v>140</v>
      </c>
      <c r="C252" s="4">
        <v>246</v>
      </c>
      <c r="D252" s="5">
        <v>45958</v>
      </c>
      <c r="E252" s="4">
        <v>901907732</v>
      </c>
      <c r="F252" s="4" t="s">
        <v>16</v>
      </c>
      <c r="G252" s="4">
        <v>890910970</v>
      </c>
      <c r="H252" s="4" t="s">
        <v>25</v>
      </c>
      <c r="I252" s="6">
        <f t="shared" si="3"/>
        <v>2844000</v>
      </c>
      <c r="J252" s="6">
        <v>540360</v>
      </c>
      <c r="K252" s="6">
        <v>0</v>
      </c>
      <c r="L252" s="6">
        <v>0</v>
      </c>
      <c r="M252" s="6">
        <v>0</v>
      </c>
      <c r="N252" s="6">
        <v>3384360</v>
      </c>
    </row>
    <row r="253" spans="1:14" x14ac:dyDescent="0.2">
      <c r="A253" s="4" t="s">
        <v>14</v>
      </c>
      <c r="B253" s="4" t="s">
        <v>139</v>
      </c>
      <c r="C253" s="4">
        <v>247</v>
      </c>
      <c r="D253" s="5">
        <v>45958</v>
      </c>
      <c r="E253" s="4">
        <v>901907732</v>
      </c>
      <c r="F253" s="4" t="s">
        <v>16</v>
      </c>
      <c r="G253" s="4">
        <v>890910970</v>
      </c>
      <c r="H253" s="4" t="s">
        <v>25</v>
      </c>
      <c r="I253" s="6">
        <f t="shared" si="3"/>
        <v>2182663.87</v>
      </c>
      <c r="J253" s="6">
        <v>414706.13</v>
      </c>
      <c r="K253" s="6">
        <v>0</v>
      </c>
      <c r="L253" s="6">
        <v>0</v>
      </c>
      <c r="M253" s="6">
        <v>0</v>
      </c>
      <c r="N253" s="6">
        <v>2597370</v>
      </c>
    </row>
    <row r="254" spans="1:14" x14ac:dyDescent="0.2">
      <c r="A254" s="4" t="s">
        <v>14</v>
      </c>
      <c r="B254" s="4" t="s">
        <v>109</v>
      </c>
      <c r="C254" s="4">
        <v>248</v>
      </c>
      <c r="D254" s="5">
        <v>45963</v>
      </c>
      <c r="E254" s="4">
        <v>901907732</v>
      </c>
      <c r="F254" s="4" t="s">
        <v>16</v>
      </c>
      <c r="G254" s="4">
        <v>900983772</v>
      </c>
      <c r="H254" s="4" t="s">
        <v>110</v>
      </c>
      <c r="I254" s="6">
        <f t="shared" si="3"/>
        <v>615000</v>
      </c>
      <c r="J254" s="6">
        <v>116850</v>
      </c>
      <c r="K254" s="6">
        <v>0</v>
      </c>
      <c r="L254" s="6">
        <v>0</v>
      </c>
      <c r="M254" s="6">
        <v>0</v>
      </c>
      <c r="N254" s="6">
        <v>731850</v>
      </c>
    </row>
    <row r="255" spans="1:14" x14ac:dyDescent="0.2">
      <c r="A255" s="4" t="s">
        <v>14</v>
      </c>
      <c r="B255" s="4" t="s">
        <v>137</v>
      </c>
      <c r="C255" s="4">
        <v>249</v>
      </c>
      <c r="D255" s="5">
        <v>45963</v>
      </c>
      <c r="E255" s="4">
        <v>901907732</v>
      </c>
      <c r="F255" s="4" t="s">
        <v>16</v>
      </c>
      <c r="G255" s="4">
        <v>900825963</v>
      </c>
      <c r="H255" s="4" t="s">
        <v>138</v>
      </c>
      <c r="I255" s="6">
        <f t="shared" si="3"/>
        <v>350332</v>
      </c>
      <c r="J255" s="6">
        <v>37050</v>
      </c>
      <c r="K255" s="6">
        <v>0</v>
      </c>
      <c r="L255" s="6">
        <v>0</v>
      </c>
      <c r="M255" s="6">
        <v>0</v>
      </c>
      <c r="N255" s="6">
        <v>387382</v>
      </c>
    </row>
    <row r="256" spans="1:14" x14ac:dyDescent="0.2">
      <c r="A256" s="4" t="s">
        <v>14</v>
      </c>
      <c r="B256" s="4" t="s">
        <v>111</v>
      </c>
      <c r="C256" s="4">
        <v>250</v>
      </c>
      <c r="D256" s="5">
        <v>45963</v>
      </c>
      <c r="E256" s="4">
        <v>901907732</v>
      </c>
      <c r="F256" s="4" t="s">
        <v>16</v>
      </c>
      <c r="G256" s="4">
        <v>901446911</v>
      </c>
      <c r="H256" s="4" t="s">
        <v>76</v>
      </c>
      <c r="I256" s="6">
        <f t="shared" si="3"/>
        <v>169326</v>
      </c>
      <c r="J256" s="6">
        <v>0</v>
      </c>
      <c r="K256" s="6">
        <v>0</v>
      </c>
      <c r="L256" s="6">
        <v>0</v>
      </c>
      <c r="M256" s="6">
        <v>0</v>
      </c>
      <c r="N256" s="6">
        <v>169326</v>
      </c>
    </row>
    <row r="257" spans="1:14" x14ac:dyDescent="0.2">
      <c r="A257" s="4" t="s">
        <v>14</v>
      </c>
      <c r="B257" s="4" t="s">
        <v>43</v>
      </c>
      <c r="C257" s="4">
        <v>251</v>
      </c>
      <c r="D257" s="5">
        <v>45963</v>
      </c>
      <c r="E257" s="4">
        <v>901907732</v>
      </c>
      <c r="F257" s="4" t="s">
        <v>16</v>
      </c>
      <c r="G257" s="4">
        <v>901495799</v>
      </c>
      <c r="H257" s="4" t="s">
        <v>17</v>
      </c>
      <c r="I257" s="6">
        <f t="shared" si="3"/>
        <v>2600000</v>
      </c>
      <c r="J257" s="6">
        <v>494000</v>
      </c>
      <c r="K257" s="6">
        <v>0</v>
      </c>
      <c r="L257" s="6">
        <v>0</v>
      </c>
      <c r="M257" s="6">
        <v>0</v>
      </c>
      <c r="N257" s="6">
        <v>3094000</v>
      </c>
    </row>
    <row r="258" spans="1:14" x14ac:dyDescent="0.2">
      <c r="A258" s="4" t="s">
        <v>14</v>
      </c>
      <c r="B258" s="4" t="s">
        <v>136</v>
      </c>
      <c r="C258" s="4">
        <v>252</v>
      </c>
      <c r="D258" s="5">
        <v>45963</v>
      </c>
      <c r="E258" s="4">
        <v>901907732</v>
      </c>
      <c r="F258" s="4" t="s">
        <v>16</v>
      </c>
      <c r="G258" s="4">
        <v>900643097</v>
      </c>
      <c r="H258" s="4" t="s">
        <v>36</v>
      </c>
      <c r="I258" s="6">
        <f t="shared" ref="I258:I321" si="4">+N258-M258-L258-K258-J258</f>
        <v>2332250</v>
      </c>
      <c r="J258" s="6">
        <v>218500</v>
      </c>
      <c r="K258" s="6">
        <v>0</v>
      </c>
      <c r="L258" s="6">
        <v>0</v>
      </c>
      <c r="M258" s="6">
        <v>0</v>
      </c>
      <c r="N258" s="6">
        <v>2550750</v>
      </c>
    </row>
    <row r="259" spans="1:14" x14ac:dyDescent="0.2">
      <c r="A259" s="4" t="s">
        <v>14</v>
      </c>
      <c r="B259" s="4" t="s">
        <v>135</v>
      </c>
      <c r="C259" s="4">
        <v>253</v>
      </c>
      <c r="D259" s="5">
        <v>45963</v>
      </c>
      <c r="E259" s="4">
        <v>901907732</v>
      </c>
      <c r="F259" s="4" t="s">
        <v>16</v>
      </c>
      <c r="G259" s="4">
        <v>901428649</v>
      </c>
      <c r="H259" s="4" t="s">
        <v>72</v>
      </c>
      <c r="I259" s="6">
        <f t="shared" si="4"/>
        <v>903072</v>
      </c>
      <c r="J259" s="6">
        <v>0</v>
      </c>
      <c r="K259" s="6">
        <v>0</v>
      </c>
      <c r="L259" s="6">
        <v>0</v>
      </c>
      <c r="M259" s="6">
        <v>0</v>
      </c>
      <c r="N259" s="6">
        <v>903072</v>
      </c>
    </row>
    <row r="260" spans="1:14" x14ac:dyDescent="0.2">
      <c r="A260" s="4" t="s">
        <v>14</v>
      </c>
      <c r="B260" s="4" t="s">
        <v>134</v>
      </c>
      <c r="C260" s="4">
        <v>254</v>
      </c>
      <c r="D260" s="5">
        <v>45963</v>
      </c>
      <c r="E260" s="4">
        <v>901907732</v>
      </c>
      <c r="F260" s="4" t="s">
        <v>16</v>
      </c>
      <c r="G260" s="4">
        <v>901105552</v>
      </c>
      <c r="H260" s="4" t="s">
        <v>69</v>
      </c>
      <c r="I260" s="6">
        <f t="shared" si="4"/>
        <v>7570000</v>
      </c>
      <c r="J260" s="6">
        <v>0</v>
      </c>
      <c r="K260" s="6">
        <v>0</v>
      </c>
      <c r="L260" s="6">
        <v>0</v>
      </c>
      <c r="M260" s="6">
        <v>0</v>
      </c>
      <c r="N260" s="6">
        <v>7570000</v>
      </c>
    </row>
    <row r="261" spans="1:14" x14ac:dyDescent="0.2">
      <c r="A261" s="4" t="s">
        <v>14</v>
      </c>
      <c r="B261" s="4" t="s">
        <v>133</v>
      </c>
      <c r="C261" s="4">
        <v>255</v>
      </c>
      <c r="D261" s="5">
        <v>45963</v>
      </c>
      <c r="E261" s="4">
        <v>901907732</v>
      </c>
      <c r="F261" s="4" t="s">
        <v>16</v>
      </c>
      <c r="G261" s="4">
        <v>901105552</v>
      </c>
      <c r="H261" s="4" t="s">
        <v>69</v>
      </c>
      <c r="I261" s="6">
        <f t="shared" si="4"/>
        <v>2435000</v>
      </c>
      <c r="J261" s="6">
        <v>0</v>
      </c>
      <c r="K261" s="6">
        <v>0</v>
      </c>
      <c r="L261" s="6">
        <v>0</v>
      </c>
      <c r="M261" s="6">
        <v>0</v>
      </c>
      <c r="N261" s="6">
        <v>2435000</v>
      </c>
    </row>
    <row r="262" spans="1:14" x14ac:dyDescent="0.2">
      <c r="A262" s="4" t="s">
        <v>14</v>
      </c>
      <c r="B262" s="4" t="s">
        <v>132</v>
      </c>
      <c r="C262" s="4">
        <v>256</v>
      </c>
      <c r="D262" s="5">
        <v>45963</v>
      </c>
      <c r="E262" s="4">
        <v>901907732</v>
      </c>
      <c r="F262" s="4" t="s">
        <v>16</v>
      </c>
      <c r="G262" s="4">
        <v>900208742</v>
      </c>
      <c r="H262" s="4" t="s">
        <v>67</v>
      </c>
      <c r="I262" s="6">
        <f t="shared" si="4"/>
        <v>200000</v>
      </c>
      <c r="J262" s="6">
        <v>0</v>
      </c>
      <c r="K262" s="6">
        <v>0</v>
      </c>
      <c r="L262" s="6">
        <v>0</v>
      </c>
      <c r="M262" s="6">
        <v>0</v>
      </c>
      <c r="N262" s="6">
        <v>200000</v>
      </c>
    </row>
    <row r="263" spans="1:14" x14ac:dyDescent="0.2">
      <c r="A263" s="4" t="s">
        <v>14</v>
      </c>
      <c r="B263" s="4" t="s">
        <v>103</v>
      </c>
      <c r="C263" s="4">
        <v>257</v>
      </c>
      <c r="D263" s="5">
        <v>45963</v>
      </c>
      <c r="E263" s="4">
        <v>901907732</v>
      </c>
      <c r="F263" s="4" t="s">
        <v>16</v>
      </c>
      <c r="G263" s="4">
        <v>811000784</v>
      </c>
      <c r="H263" s="4" t="s">
        <v>33</v>
      </c>
      <c r="I263" s="6">
        <f t="shared" si="4"/>
        <v>1510850</v>
      </c>
      <c r="J263" s="6">
        <v>0</v>
      </c>
      <c r="K263" s="6">
        <v>0</v>
      </c>
      <c r="L263" s="6">
        <v>0</v>
      </c>
      <c r="M263" s="6">
        <v>0</v>
      </c>
      <c r="N263" s="6">
        <v>1510850</v>
      </c>
    </row>
    <row r="264" spans="1:14" x14ac:dyDescent="0.2">
      <c r="A264" s="4" t="s">
        <v>14</v>
      </c>
      <c r="B264" s="4" t="s">
        <v>102</v>
      </c>
      <c r="C264" s="4">
        <v>258</v>
      </c>
      <c r="D264" s="5">
        <v>45963</v>
      </c>
      <c r="E264" s="4">
        <v>901907732</v>
      </c>
      <c r="F264" s="4" t="s">
        <v>16</v>
      </c>
      <c r="G264" s="4">
        <v>811000784</v>
      </c>
      <c r="H264" s="4" t="s">
        <v>33</v>
      </c>
      <c r="I264" s="6">
        <f t="shared" si="4"/>
        <v>2105000</v>
      </c>
      <c r="J264" s="6">
        <v>399950</v>
      </c>
      <c r="K264" s="6">
        <v>0</v>
      </c>
      <c r="L264" s="6">
        <v>0</v>
      </c>
      <c r="M264" s="6">
        <v>0</v>
      </c>
      <c r="N264" s="6">
        <v>2504950</v>
      </c>
    </row>
    <row r="265" spans="1:14" x14ac:dyDescent="0.2">
      <c r="A265" s="4" t="s">
        <v>14</v>
      </c>
      <c r="B265" s="4" t="s">
        <v>105</v>
      </c>
      <c r="C265" s="4">
        <v>259</v>
      </c>
      <c r="D265" s="5">
        <v>45963</v>
      </c>
      <c r="E265" s="4">
        <v>901907732</v>
      </c>
      <c r="F265" s="4" t="s">
        <v>16</v>
      </c>
      <c r="G265" s="4">
        <v>811000784</v>
      </c>
      <c r="H265" s="4" t="s">
        <v>33</v>
      </c>
      <c r="I265" s="6">
        <f t="shared" si="4"/>
        <v>280000</v>
      </c>
      <c r="J265" s="6">
        <v>0</v>
      </c>
      <c r="K265" s="6">
        <v>0</v>
      </c>
      <c r="L265" s="6">
        <v>0</v>
      </c>
      <c r="M265" s="6">
        <v>0</v>
      </c>
      <c r="N265" s="6">
        <v>280000</v>
      </c>
    </row>
    <row r="266" spans="1:14" x14ac:dyDescent="0.2">
      <c r="A266" s="4" t="s">
        <v>14</v>
      </c>
      <c r="B266" s="4" t="s">
        <v>131</v>
      </c>
      <c r="C266" s="4">
        <v>260</v>
      </c>
      <c r="D266" s="5">
        <v>45963</v>
      </c>
      <c r="E266" s="4">
        <v>901907732</v>
      </c>
      <c r="F266" s="4" t="s">
        <v>16</v>
      </c>
      <c r="G266" s="4">
        <v>811000784</v>
      </c>
      <c r="H266" s="4" t="s">
        <v>33</v>
      </c>
      <c r="I266" s="6">
        <f t="shared" si="4"/>
        <v>355000</v>
      </c>
      <c r="J266" s="6">
        <v>67450</v>
      </c>
      <c r="K266" s="6">
        <v>0</v>
      </c>
      <c r="L266" s="6">
        <v>0</v>
      </c>
      <c r="M266" s="6">
        <v>0</v>
      </c>
      <c r="N266" s="6">
        <v>422450</v>
      </c>
    </row>
    <row r="267" spans="1:14" x14ac:dyDescent="0.2">
      <c r="A267" s="4" t="s">
        <v>14</v>
      </c>
      <c r="B267" s="4" t="s">
        <v>130</v>
      </c>
      <c r="C267" s="4">
        <v>261</v>
      </c>
      <c r="D267" s="5">
        <v>45963</v>
      </c>
      <c r="E267" s="4">
        <v>901907732</v>
      </c>
      <c r="F267" s="4" t="s">
        <v>16</v>
      </c>
      <c r="G267" s="4">
        <v>860022343</v>
      </c>
      <c r="H267" s="4" t="s">
        <v>21</v>
      </c>
      <c r="I267" s="6">
        <f t="shared" si="4"/>
        <v>1950000</v>
      </c>
      <c r="J267" s="6">
        <v>370500</v>
      </c>
      <c r="K267" s="6">
        <v>0</v>
      </c>
      <c r="L267" s="6">
        <v>0</v>
      </c>
      <c r="M267" s="6">
        <v>0</v>
      </c>
      <c r="N267" s="6">
        <v>2320500</v>
      </c>
    </row>
    <row r="268" spans="1:14" x14ac:dyDescent="0.2">
      <c r="A268" s="4" t="s">
        <v>14</v>
      </c>
      <c r="B268" s="4" t="s">
        <v>129</v>
      </c>
      <c r="C268" s="4">
        <v>262</v>
      </c>
      <c r="D268" s="5">
        <v>45963</v>
      </c>
      <c r="E268" s="4">
        <v>901907732</v>
      </c>
      <c r="F268" s="4" t="s">
        <v>16</v>
      </c>
      <c r="G268" s="4">
        <v>860022343</v>
      </c>
      <c r="H268" s="4" t="s">
        <v>21</v>
      </c>
      <c r="I268" s="6">
        <f t="shared" si="4"/>
        <v>18848750</v>
      </c>
      <c r="J268" s="6">
        <v>0</v>
      </c>
      <c r="K268" s="6">
        <v>0</v>
      </c>
      <c r="L268" s="6">
        <v>0</v>
      </c>
      <c r="M268" s="6">
        <v>0</v>
      </c>
      <c r="N268" s="6">
        <v>18848750</v>
      </c>
    </row>
    <row r="269" spans="1:14" x14ac:dyDescent="0.2">
      <c r="A269" s="4" t="s">
        <v>14</v>
      </c>
      <c r="B269" s="4" t="s">
        <v>128</v>
      </c>
      <c r="C269" s="4">
        <v>263</v>
      </c>
      <c r="D269" s="5">
        <v>45963</v>
      </c>
      <c r="E269" s="4">
        <v>901907732</v>
      </c>
      <c r="F269" s="4" t="s">
        <v>16</v>
      </c>
      <c r="G269" s="4">
        <v>901193232</v>
      </c>
      <c r="H269" s="4" t="s">
        <v>62</v>
      </c>
      <c r="I269" s="6">
        <f t="shared" si="4"/>
        <v>192485</v>
      </c>
      <c r="J269" s="6">
        <v>0</v>
      </c>
      <c r="K269" s="6">
        <v>0</v>
      </c>
      <c r="L269" s="6">
        <v>0</v>
      </c>
      <c r="M269" s="6">
        <v>0</v>
      </c>
      <c r="N269" s="6">
        <v>192485</v>
      </c>
    </row>
    <row r="270" spans="1:14" x14ac:dyDescent="0.2">
      <c r="A270" s="4" t="s">
        <v>14</v>
      </c>
      <c r="B270" s="4" t="s">
        <v>123</v>
      </c>
      <c r="C270" s="4">
        <v>264</v>
      </c>
      <c r="D270" s="5">
        <v>45963</v>
      </c>
      <c r="E270" s="4">
        <v>901907732</v>
      </c>
      <c r="F270" s="4" t="s">
        <v>16</v>
      </c>
      <c r="G270" s="4">
        <v>900383497</v>
      </c>
      <c r="H270" s="4" t="s">
        <v>60</v>
      </c>
      <c r="I270" s="6">
        <f t="shared" si="4"/>
        <v>432000</v>
      </c>
      <c r="J270" s="6">
        <v>0</v>
      </c>
      <c r="K270" s="6">
        <v>0</v>
      </c>
      <c r="L270" s="6">
        <v>0</v>
      </c>
      <c r="M270" s="6">
        <v>0</v>
      </c>
      <c r="N270" s="6">
        <v>432000</v>
      </c>
    </row>
    <row r="271" spans="1:14" x14ac:dyDescent="0.2">
      <c r="A271" s="4" t="s">
        <v>14</v>
      </c>
      <c r="B271" s="4" t="s">
        <v>122</v>
      </c>
      <c r="C271" s="4">
        <v>265</v>
      </c>
      <c r="D271" s="5">
        <v>45963</v>
      </c>
      <c r="E271" s="4">
        <v>901907732</v>
      </c>
      <c r="F271" s="4" t="s">
        <v>16</v>
      </c>
      <c r="G271" s="4">
        <v>901774691</v>
      </c>
      <c r="H271" s="4" t="s">
        <v>58</v>
      </c>
      <c r="I271" s="6">
        <f t="shared" si="4"/>
        <v>365781</v>
      </c>
      <c r="J271" s="6">
        <v>0</v>
      </c>
      <c r="K271" s="6">
        <v>0</v>
      </c>
      <c r="L271" s="6">
        <v>0</v>
      </c>
      <c r="M271" s="6">
        <v>0</v>
      </c>
      <c r="N271" s="6">
        <v>365781</v>
      </c>
    </row>
    <row r="272" spans="1:14" x14ac:dyDescent="0.2">
      <c r="A272" s="4" t="s">
        <v>14</v>
      </c>
      <c r="B272" s="4" t="s">
        <v>113</v>
      </c>
      <c r="C272" s="4">
        <v>266</v>
      </c>
      <c r="D272" s="5">
        <v>45963</v>
      </c>
      <c r="E272" s="4">
        <v>901907732</v>
      </c>
      <c r="F272" s="4" t="s">
        <v>16</v>
      </c>
      <c r="G272" s="4">
        <v>811044610</v>
      </c>
      <c r="H272" s="4" t="s">
        <v>54</v>
      </c>
      <c r="I272" s="6">
        <f t="shared" si="4"/>
        <v>654500</v>
      </c>
      <c r="J272" s="6">
        <v>124355</v>
      </c>
      <c r="K272" s="6">
        <v>0</v>
      </c>
      <c r="L272" s="6">
        <v>0</v>
      </c>
      <c r="M272" s="6">
        <v>0</v>
      </c>
      <c r="N272" s="6">
        <v>778855</v>
      </c>
    </row>
    <row r="273" spans="1:14" x14ac:dyDescent="0.2">
      <c r="A273" s="4" t="s">
        <v>14</v>
      </c>
      <c r="B273" s="4" t="s">
        <v>121</v>
      </c>
      <c r="C273" s="4">
        <v>267</v>
      </c>
      <c r="D273" s="5">
        <v>45963</v>
      </c>
      <c r="E273" s="4">
        <v>901907732</v>
      </c>
      <c r="F273" s="4" t="s">
        <v>16</v>
      </c>
      <c r="G273" s="4">
        <v>811026805</v>
      </c>
      <c r="H273" s="4" t="s">
        <v>52</v>
      </c>
      <c r="I273" s="6">
        <f t="shared" si="4"/>
        <v>550000</v>
      </c>
      <c r="J273" s="6">
        <v>104500</v>
      </c>
      <c r="K273" s="6">
        <v>0</v>
      </c>
      <c r="L273" s="6">
        <v>0</v>
      </c>
      <c r="M273" s="6">
        <v>0</v>
      </c>
      <c r="N273" s="6">
        <v>654500</v>
      </c>
    </row>
    <row r="274" spans="1:14" x14ac:dyDescent="0.2">
      <c r="A274" s="4" t="s">
        <v>14</v>
      </c>
      <c r="B274" s="4" t="s">
        <v>120</v>
      </c>
      <c r="C274" s="4">
        <v>268</v>
      </c>
      <c r="D274" s="5">
        <v>45963</v>
      </c>
      <c r="E274" s="4">
        <v>901907732</v>
      </c>
      <c r="F274" s="4" t="s">
        <v>16</v>
      </c>
      <c r="G274" s="4">
        <v>900688446</v>
      </c>
      <c r="H274" s="4" t="s">
        <v>47</v>
      </c>
      <c r="I274" s="6">
        <f t="shared" si="4"/>
        <v>3189240</v>
      </c>
      <c r="J274" s="6">
        <v>324900</v>
      </c>
      <c r="K274" s="6">
        <v>0</v>
      </c>
      <c r="L274" s="6">
        <v>0</v>
      </c>
      <c r="M274" s="6">
        <v>0</v>
      </c>
      <c r="N274" s="6">
        <v>3514140</v>
      </c>
    </row>
    <row r="275" spans="1:14" x14ac:dyDescent="0.2">
      <c r="A275" s="4" t="s">
        <v>14</v>
      </c>
      <c r="B275" s="4" t="s">
        <v>108</v>
      </c>
      <c r="C275" s="4">
        <v>269</v>
      </c>
      <c r="D275" s="5">
        <v>45963</v>
      </c>
      <c r="E275" s="4">
        <v>901907732</v>
      </c>
      <c r="F275" s="4" t="s">
        <v>16</v>
      </c>
      <c r="G275" s="4">
        <v>900688446</v>
      </c>
      <c r="H275" s="4" t="s">
        <v>47</v>
      </c>
      <c r="I275" s="6">
        <f t="shared" si="4"/>
        <v>1020000</v>
      </c>
      <c r="J275" s="6">
        <v>193800</v>
      </c>
      <c r="K275" s="6">
        <v>0</v>
      </c>
      <c r="L275" s="6">
        <v>0</v>
      </c>
      <c r="M275" s="6">
        <v>0</v>
      </c>
      <c r="N275" s="6">
        <v>1213800</v>
      </c>
    </row>
    <row r="276" spans="1:14" x14ac:dyDescent="0.2">
      <c r="A276" s="4" t="s">
        <v>14</v>
      </c>
      <c r="B276" s="4" t="s">
        <v>119</v>
      </c>
      <c r="C276" s="4">
        <v>270</v>
      </c>
      <c r="D276" s="5">
        <v>45963</v>
      </c>
      <c r="E276" s="4">
        <v>901907732</v>
      </c>
      <c r="F276" s="4" t="s">
        <v>16</v>
      </c>
      <c r="G276" s="4">
        <v>811017918</v>
      </c>
      <c r="H276" s="4" t="s">
        <v>19</v>
      </c>
      <c r="I276" s="6">
        <f t="shared" si="4"/>
        <v>900000</v>
      </c>
      <c r="J276" s="6">
        <v>171000</v>
      </c>
      <c r="K276" s="6">
        <v>0</v>
      </c>
      <c r="L276" s="6">
        <v>0</v>
      </c>
      <c r="M276" s="6">
        <v>0</v>
      </c>
      <c r="N276" s="6">
        <v>1071000</v>
      </c>
    </row>
    <row r="277" spans="1:14" x14ac:dyDescent="0.2">
      <c r="A277" s="4" t="s">
        <v>14</v>
      </c>
      <c r="B277" s="4" t="s">
        <v>118</v>
      </c>
      <c r="C277" s="4">
        <v>271</v>
      </c>
      <c r="D277" s="5">
        <v>45963</v>
      </c>
      <c r="E277" s="4">
        <v>901907732</v>
      </c>
      <c r="F277" s="4" t="s">
        <v>16</v>
      </c>
      <c r="G277" s="4">
        <v>890910970</v>
      </c>
      <c r="H277" s="4" t="s">
        <v>25</v>
      </c>
      <c r="I277" s="6">
        <f t="shared" si="4"/>
        <v>1400000</v>
      </c>
      <c r="J277" s="6">
        <v>266000</v>
      </c>
      <c r="K277" s="6">
        <v>0</v>
      </c>
      <c r="L277" s="6">
        <v>0</v>
      </c>
      <c r="M277" s="6">
        <v>0</v>
      </c>
      <c r="N277" s="6">
        <v>1666000</v>
      </c>
    </row>
    <row r="278" spans="1:14" x14ac:dyDescent="0.2">
      <c r="A278" s="4" t="s">
        <v>14</v>
      </c>
      <c r="B278" s="4" t="s">
        <v>116</v>
      </c>
      <c r="C278" s="4">
        <v>272</v>
      </c>
      <c r="D278" s="5">
        <v>45965</v>
      </c>
      <c r="E278" s="4">
        <v>901907732</v>
      </c>
      <c r="F278" s="4" t="s">
        <v>16</v>
      </c>
      <c r="G278" s="4">
        <v>900177076</v>
      </c>
      <c r="H278" s="4" t="s">
        <v>117</v>
      </c>
      <c r="I278" s="6">
        <f t="shared" si="4"/>
        <v>650000</v>
      </c>
      <c r="J278" s="6">
        <v>123500</v>
      </c>
      <c r="K278" s="6">
        <v>0</v>
      </c>
      <c r="L278" s="6">
        <v>0</v>
      </c>
      <c r="M278" s="6">
        <v>0</v>
      </c>
      <c r="N278" s="6">
        <v>773500</v>
      </c>
    </row>
    <row r="279" spans="1:14" x14ac:dyDescent="0.2">
      <c r="A279" s="4" t="s">
        <v>14</v>
      </c>
      <c r="B279" s="4" t="s">
        <v>115</v>
      </c>
      <c r="C279" s="4">
        <v>273</v>
      </c>
      <c r="D279" s="5">
        <v>45965</v>
      </c>
      <c r="E279" s="4">
        <v>901907732</v>
      </c>
      <c r="F279" s="4" t="s">
        <v>16</v>
      </c>
      <c r="G279" s="4">
        <v>901105552</v>
      </c>
      <c r="H279" s="4" t="s">
        <v>69</v>
      </c>
      <c r="I279" s="6">
        <f t="shared" si="4"/>
        <v>425000</v>
      </c>
      <c r="J279" s="6">
        <v>0</v>
      </c>
      <c r="K279" s="6">
        <v>0</v>
      </c>
      <c r="L279" s="6">
        <v>0</v>
      </c>
      <c r="M279" s="6">
        <v>0</v>
      </c>
      <c r="N279" s="6">
        <v>425000</v>
      </c>
    </row>
    <row r="280" spans="1:14" x14ac:dyDescent="0.2">
      <c r="A280" s="4" t="s">
        <v>14</v>
      </c>
      <c r="B280" s="4" t="s">
        <v>114</v>
      </c>
      <c r="C280" s="4">
        <v>274</v>
      </c>
      <c r="D280" s="5">
        <v>45965</v>
      </c>
      <c r="E280" s="4">
        <v>901907732</v>
      </c>
      <c r="F280" s="4" t="s">
        <v>16</v>
      </c>
      <c r="G280" s="4">
        <v>901344156</v>
      </c>
      <c r="H280" s="4" t="s">
        <v>23</v>
      </c>
      <c r="I280" s="6">
        <f t="shared" si="4"/>
        <v>4644000</v>
      </c>
      <c r="J280" s="6">
        <v>0</v>
      </c>
      <c r="K280" s="6">
        <v>0</v>
      </c>
      <c r="L280" s="6">
        <v>0</v>
      </c>
      <c r="M280" s="6">
        <v>0</v>
      </c>
      <c r="N280" s="6">
        <v>4644000</v>
      </c>
    </row>
    <row r="281" spans="1:14" x14ac:dyDescent="0.2">
      <c r="A281" s="4" t="s">
        <v>14</v>
      </c>
      <c r="B281" s="4" t="s">
        <v>42</v>
      </c>
      <c r="C281" s="4">
        <v>275</v>
      </c>
      <c r="D281" s="5">
        <v>45966</v>
      </c>
      <c r="E281" s="4">
        <v>901907732</v>
      </c>
      <c r="F281" s="4" t="s">
        <v>16</v>
      </c>
      <c r="G281" s="4">
        <v>901495799</v>
      </c>
      <c r="H281" s="4" t="s">
        <v>17</v>
      </c>
      <c r="I281" s="6">
        <f t="shared" si="4"/>
        <v>1645000</v>
      </c>
      <c r="J281" s="6">
        <v>312550</v>
      </c>
      <c r="K281" s="6">
        <v>0</v>
      </c>
      <c r="L281" s="6">
        <v>0</v>
      </c>
      <c r="M281" s="6">
        <v>0</v>
      </c>
      <c r="N281" s="6">
        <v>1957550</v>
      </c>
    </row>
    <row r="282" spans="1:14" x14ac:dyDescent="0.2">
      <c r="A282" s="4" t="s">
        <v>14</v>
      </c>
      <c r="B282" s="4" t="s">
        <v>112</v>
      </c>
      <c r="C282" s="4">
        <v>276</v>
      </c>
      <c r="D282" s="5">
        <v>45968</v>
      </c>
      <c r="E282" s="4">
        <v>901907732</v>
      </c>
      <c r="F282" s="4" t="s">
        <v>16</v>
      </c>
      <c r="G282" s="4">
        <v>811017918</v>
      </c>
      <c r="H282" s="4" t="s">
        <v>19</v>
      </c>
      <c r="I282" s="6">
        <f t="shared" si="4"/>
        <v>1160250</v>
      </c>
      <c r="J282" s="6">
        <v>0</v>
      </c>
      <c r="K282" s="6">
        <v>0</v>
      </c>
      <c r="L282" s="6">
        <v>0</v>
      </c>
      <c r="M282" s="6">
        <v>0</v>
      </c>
      <c r="N282" s="6">
        <v>1160250</v>
      </c>
    </row>
    <row r="283" spans="1:14" x14ac:dyDescent="0.2">
      <c r="A283" s="4" t="s">
        <v>14</v>
      </c>
      <c r="B283" s="4" t="s">
        <v>99</v>
      </c>
      <c r="C283" s="4">
        <v>277</v>
      </c>
      <c r="D283" s="5">
        <v>45973</v>
      </c>
      <c r="E283" s="4">
        <v>901907732</v>
      </c>
      <c r="F283" s="4" t="s">
        <v>16</v>
      </c>
      <c r="G283" s="4">
        <v>900688446</v>
      </c>
      <c r="H283" s="4" t="s">
        <v>47</v>
      </c>
      <c r="I283" s="6">
        <f t="shared" si="4"/>
        <v>1244546.22</v>
      </c>
      <c r="J283" s="6">
        <v>236463.78</v>
      </c>
      <c r="K283" s="6">
        <v>0</v>
      </c>
      <c r="L283" s="6">
        <v>0</v>
      </c>
      <c r="M283" s="6">
        <v>0</v>
      </c>
      <c r="N283" s="6">
        <v>1481010</v>
      </c>
    </row>
    <row r="284" spans="1:14" x14ac:dyDescent="0.2">
      <c r="A284" s="4" t="s">
        <v>14</v>
      </c>
      <c r="B284" s="4" t="s">
        <v>96</v>
      </c>
      <c r="C284" s="4">
        <v>278</v>
      </c>
      <c r="D284" s="5">
        <v>45975</v>
      </c>
      <c r="E284" s="4">
        <v>901907732</v>
      </c>
      <c r="F284" s="4" t="s">
        <v>16</v>
      </c>
      <c r="G284" s="4">
        <v>900688446</v>
      </c>
      <c r="H284" s="4" t="s">
        <v>47</v>
      </c>
      <c r="I284" s="6">
        <f t="shared" si="4"/>
        <v>975546.22</v>
      </c>
      <c r="J284" s="6">
        <v>185353.78</v>
      </c>
      <c r="K284" s="6">
        <v>0</v>
      </c>
      <c r="L284" s="6">
        <v>0</v>
      </c>
      <c r="M284" s="6">
        <v>0</v>
      </c>
      <c r="N284" s="6">
        <v>1160900</v>
      </c>
    </row>
    <row r="285" spans="1:14" x14ac:dyDescent="0.2">
      <c r="A285" s="4" t="s">
        <v>14</v>
      </c>
      <c r="B285" s="4" t="s">
        <v>94</v>
      </c>
      <c r="C285" s="4">
        <v>279</v>
      </c>
      <c r="D285" s="5">
        <v>45981</v>
      </c>
      <c r="E285" s="4">
        <v>901907732</v>
      </c>
      <c r="F285" s="4" t="s">
        <v>16</v>
      </c>
      <c r="G285" s="4">
        <v>890931488</v>
      </c>
      <c r="H285" s="4" t="s">
        <v>95</v>
      </c>
      <c r="I285" s="6">
        <f t="shared" si="4"/>
        <v>900000</v>
      </c>
      <c r="J285" s="6">
        <v>171000</v>
      </c>
      <c r="K285" s="6">
        <v>0</v>
      </c>
      <c r="L285" s="6">
        <v>0</v>
      </c>
      <c r="M285" s="6">
        <v>0</v>
      </c>
      <c r="N285" s="6">
        <v>1071000</v>
      </c>
    </row>
    <row r="286" spans="1:14" x14ac:dyDescent="0.2">
      <c r="A286" s="4" t="s">
        <v>14</v>
      </c>
      <c r="B286" s="4" t="s">
        <v>93</v>
      </c>
      <c r="C286" s="4">
        <v>280</v>
      </c>
      <c r="D286" s="5">
        <v>45981</v>
      </c>
      <c r="E286" s="4">
        <v>901907732</v>
      </c>
      <c r="F286" s="4" t="s">
        <v>16</v>
      </c>
      <c r="G286" s="4">
        <v>811044610</v>
      </c>
      <c r="H286" s="4" t="s">
        <v>54</v>
      </c>
      <c r="I286" s="6">
        <f t="shared" si="4"/>
        <v>315126.05</v>
      </c>
      <c r="J286" s="6">
        <v>59873.95</v>
      </c>
      <c r="K286" s="6">
        <v>0</v>
      </c>
      <c r="L286" s="6">
        <v>0</v>
      </c>
      <c r="M286" s="6">
        <v>0</v>
      </c>
      <c r="N286" s="6">
        <v>375000</v>
      </c>
    </row>
    <row r="287" spans="1:14" x14ac:dyDescent="0.2">
      <c r="A287" s="4" t="s">
        <v>14</v>
      </c>
      <c r="B287" s="4" t="s">
        <v>92</v>
      </c>
      <c r="C287" s="4">
        <v>281</v>
      </c>
      <c r="D287" s="5">
        <v>45981</v>
      </c>
      <c r="E287" s="4">
        <v>901907732</v>
      </c>
      <c r="F287" s="4" t="s">
        <v>16</v>
      </c>
      <c r="G287" s="4">
        <v>890910970</v>
      </c>
      <c r="H287" s="4" t="s">
        <v>25</v>
      </c>
      <c r="I287" s="6">
        <f t="shared" si="4"/>
        <v>657000</v>
      </c>
      <c r="J287" s="6">
        <v>124830</v>
      </c>
      <c r="K287" s="6">
        <v>0</v>
      </c>
      <c r="L287" s="6">
        <v>0</v>
      </c>
      <c r="M287" s="6">
        <v>0</v>
      </c>
      <c r="N287" s="6">
        <v>781830</v>
      </c>
    </row>
    <row r="288" spans="1:14" x14ac:dyDescent="0.2">
      <c r="A288" s="4" t="s">
        <v>14</v>
      </c>
      <c r="B288" s="4" t="s">
        <v>91</v>
      </c>
      <c r="C288" s="4">
        <v>282</v>
      </c>
      <c r="D288" s="5">
        <v>45981</v>
      </c>
      <c r="E288" s="4">
        <v>901907732</v>
      </c>
      <c r="F288" s="4" t="s">
        <v>16</v>
      </c>
      <c r="G288" s="4">
        <v>811017918</v>
      </c>
      <c r="H288" s="4" t="s">
        <v>19</v>
      </c>
      <c r="I288" s="6">
        <f t="shared" si="4"/>
        <v>570000</v>
      </c>
      <c r="J288" s="6">
        <v>0</v>
      </c>
      <c r="K288" s="6">
        <v>0</v>
      </c>
      <c r="L288" s="6">
        <v>0</v>
      </c>
      <c r="M288" s="6">
        <v>0</v>
      </c>
      <c r="N288" s="6">
        <v>570000</v>
      </c>
    </row>
    <row r="289" spans="1:14" x14ac:dyDescent="0.2">
      <c r="A289" s="4" t="s">
        <v>14</v>
      </c>
      <c r="B289" s="4" t="s">
        <v>81</v>
      </c>
      <c r="C289" s="4">
        <v>283</v>
      </c>
      <c r="D289" s="5">
        <v>45987</v>
      </c>
      <c r="E289" s="4">
        <v>901907732</v>
      </c>
      <c r="F289" s="4" t="s">
        <v>16</v>
      </c>
      <c r="G289" s="4">
        <v>900742678</v>
      </c>
      <c r="H289" s="4" t="s">
        <v>80</v>
      </c>
      <c r="I289" s="6">
        <f t="shared" si="4"/>
        <v>650000</v>
      </c>
      <c r="J289" s="6">
        <v>123500</v>
      </c>
      <c r="K289" s="6">
        <v>0</v>
      </c>
      <c r="L289" s="6">
        <v>0</v>
      </c>
      <c r="M289" s="6">
        <v>0</v>
      </c>
      <c r="N289" s="6">
        <v>773500</v>
      </c>
    </row>
    <row r="290" spans="1:14" x14ac:dyDescent="0.2">
      <c r="A290" s="4" t="s">
        <v>14</v>
      </c>
      <c r="B290" s="4" t="s">
        <v>75</v>
      </c>
      <c r="C290" s="4">
        <v>284</v>
      </c>
      <c r="D290" s="5">
        <v>45993</v>
      </c>
      <c r="E290" s="4">
        <v>901907732</v>
      </c>
      <c r="F290" s="4" t="s">
        <v>16</v>
      </c>
      <c r="G290" s="4">
        <v>901446911</v>
      </c>
      <c r="H290" s="4" t="s">
        <v>76</v>
      </c>
      <c r="I290" s="6">
        <f t="shared" si="4"/>
        <v>169326</v>
      </c>
      <c r="J290" s="6">
        <v>0</v>
      </c>
      <c r="K290" s="6">
        <v>0</v>
      </c>
      <c r="L290" s="6">
        <v>0</v>
      </c>
      <c r="M290" s="6">
        <v>0</v>
      </c>
      <c r="N290" s="6">
        <v>169326</v>
      </c>
    </row>
    <row r="291" spans="1:14" x14ac:dyDescent="0.2">
      <c r="A291" s="4" t="s">
        <v>14</v>
      </c>
      <c r="B291" s="4" t="s">
        <v>74</v>
      </c>
      <c r="C291" s="4">
        <v>285</v>
      </c>
      <c r="D291" s="5">
        <v>45993</v>
      </c>
      <c r="E291" s="4">
        <v>901907732</v>
      </c>
      <c r="F291" s="4" t="s">
        <v>16</v>
      </c>
      <c r="G291" s="4">
        <v>901495799</v>
      </c>
      <c r="H291" s="4" t="s">
        <v>17</v>
      </c>
      <c r="I291" s="6">
        <f t="shared" si="4"/>
        <v>2600000</v>
      </c>
      <c r="J291" s="6">
        <v>494000</v>
      </c>
      <c r="K291" s="6">
        <v>0</v>
      </c>
      <c r="L291" s="6">
        <v>0</v>
      </c>
      <c r="M291" s="6">
        <v>0</v>
      </c>
      <c r="N291" s="6">
        <v>3094000</v>
      </c>
    </row>
    <row r="292" spans="1:14" x14ac:dyDescent="0.2">
      <c r="A292" s="4" t="s">
        <v>14</v>
      </c>
      <c r="B292" s="4" t="s">
        <v>73</v>
      </c>
      <c r="C292" s="4">
        <v>286</v>
      </c>
      <c r="D292" s="5">
        <v>45993</v>
      </c>
      <c r="E292" s="4">
        <v>901907732</v>
      </c>
      <c r="F292" s="4" t="s">
        <v>16</v>
      </c>
      <c r="G292" s="4">
        <v>900643097</v>
      </c>
      <c r="H292" s="4" t="s">
        <v>36</v>
      </c>
      <c r="I292" s="6">
        <f t="shared" si="4"/>
        <v>2264237</v>
      </c>
      <c r="J292" s="6">
        <v>276137.07</v>
      </c>
      <c r="K292" s="6">
        <v>0</v>
      </c>
      <c r="L292" s="6">
        <v>0</v>
      </c>
      <c r="M292" s="6">
        <v>0</v>
      </c>
      <c r="N292" s="6">
        <v>2540374.0699999998</v>
      </c>
    </row>
    <row r="293" spans="1:14" x14ac:dyDescent="0.2">
      <c r="A293" s="4" t="s">
        <v>14</v>
      </c>
      <c r="B293" s="4" t="s">
        <v>71</v>
      </c>
      <c r="C293" s="4">
        <v>287</v>
      </c>
      <c r="D293" s="5">
        <v>45993</v>
      </c>
      <c r="E293" s="4">
        <v>901907732</v>
      </c>
      <c r="F293" s="4" t="s">
        <v>16</v>
      </c>
      <c r="G293" s="4">
        <v>901428649</v>
      </c>
      <c r="H293" s="4" t="s">
        <v>72</v>
      </c>
      <c r="I293" s="6">
        <f t="shared" si="4"/>
        <v>903072</v>
      </c>
      <c r="J293" s="6">
        <v>0</v>
      </c>
      <c r="K293" s="6">
        <v>0</v>
      </c>
      <c r="L293" s="6">
        <v>0</v>
      </c>
      <c r="M293" s="6">
        <v>0</v>
      </c>
      <c r="N293" s="6">
        <v>903072</v>
      </c>
    </row>
    <row r="294" spans="1:14" x14ac:dyDescent="0.2">
      <c r="A294" s="4" t="s">
        <v>14</v>
      </c>
      <c r="B294" s="4" t="s">
        <v>70</v>
      </c>
      <c r="C294" s="4">
        <v>288</v>
      </c>
      <c r="D294" s="5">
        <v>45993</v>
      </c>
      <c r="E294" s="4">
        <v>901907732</v>
      </c>
      <c r="F294" s="4" t="s">
        <v>16</v>
      </c>
      <c r="G294" s="4">
        <v>901105552</v>
      </c>
      <c r="H294" s="4" t="s">
        <v>69</v>
      </c>
      <c r="I294" s="6">
        <f t="shared" si="4"/>
        <v>6575000</v>
      </c>
      <c r="J294" s="6">
        <v>0</v>
      </c>
      <c r="K294" s="6">
        <v>0</v>
      </c>
      <c r="L294" s="6">
        <v>0</v>
      </c>
      <c r="M294" s="6">
        <v>0</v>
      </c>
      <c r="N294" s="6">
        <v>6575000</v>
      </c>
    </row>
    <row r="295" spans="1:14" x14ac:dyDescent="0.2">
      <c r="A295" s="4" t="s">
        <v>14</v>
      </c>
      <c r="B295" s="4" t="s">
        <v>68</v>
      </c>
      <c r="C295" s="4">
        <v>289</v>
      </c>
      <c r="D295" s="5">
        <v>45993</v>
      </c>
      <c r="E295" s="4">
        <v>901907732</v>
      </c>
      <c r="F295" s="4" t="s">
        <v>16</v>
      </c>
      <c r="G295" s="4">
        <v>901105552</v>
      </c>
      <c r="H295" s="4" t="s">
        <v>69</v>
      </c>
      <c r="I295" s="6">
        <f t="shared" si="4"/>
        <v>2720000</v>
      </c>
      <c r="J295" s="6">
        <v>0</v>
      </c>
      <c r="K295" s="6">
        <v>0</v>
      </c>
      <c r="L295" s="6">
        <v>0</v>
      </c>
      <c r="M295" s="6">
        <v>0</v>
      </c>
      <c r="N295" s="6">
        <v>2720000</v>
      </c>
    </row>
    <row r="296" spans="1:14" x14ac:dyDescent="0.2">
      <c r="A296" s="4" t="s">
        <v>14</v>
      </c>
      <c r="B296" s="4" t="s">
        <v>66</v>
      </c>
      <c r="C296" s="4">
        <v>290</v>
      </c>
      <c r="D296" s="5">
        <v>45993</v>
      </c>
      <c r="E296" s="4">
        <v>901907732</v>
      </c>
      <c r="F296" s="4" t="s">
        <v>16</v>
      </c>
      <c r="G296" s="4">
        <v>900208742</v>
      </c>
      <c r="H296" s="4" t="s">
        <v>67</v>
      </c>
      <c r="I296" s="6">
        <f t="shared" si="4"/>
        <v>200000</v>
      </c>
      <c r="J296" s="6">
        <v>38000</v>
      </c>
      <c r="K296" s="6">
        <v>0</v>
      </c>
      <c r="L296" s="6">
        <v>0</v>
      </c>
      <c r="M296" s="6">
        <v>0</v>
      </c>
      <c r="N296" s="6">
        <v>238000</v>
      </c>
    </row>
    <row r="297" spans="1:14" x14ac:dyDescent="0.2">
      <c r="A297" s="4" t="s">
        <v>14</v>
      </c>
      <c r="B297" s="4" t="s">
        <v>64</v>
      </c>
      <c r="C297" s="4">
        <v>291</v>
      </c>
      <c r="D297" s="5">
        <v>45993</v>
      </c>
      <c r="E297" s="4">
        <v>901907732</v>
      </c>
      <c r="F297" s="4" t="s">
        <v>16</v>
      </c>
      <c r="G297" s="4">
        <v>21993269</v>
      </c>
      <c r="H297" s="4" t="s">
        <v>65</v>
      </c>
      <c r="I297" s="6">
        <f t="shared" si="4"/>
        <v>10742964</v>
      </c>
      <c r="J297" s="6">
        <v>0</v>
      </c>
      <c r="K297" s="6">
        <v>0</v>
      </c>
      <c r="L297" s="6">
        <v>0</v>
      </c>
      <c r="M297" s="6">
        <v>0</v>
      </c>
      <c r="N297" s="6">
        <v>10742964</v>
      </c>
    </row>
    <row r="298" spans="1:14" x14ac:dyDescent="0.2">
      <c r="A298" s="4" t="s">
        <v>14</v>
      </c>
      <c r="B298" s="4" t="s">
        <v>55</v>
      </c>
      <c r="C298" s="4">
        <v>292</v>
      </c>
      <c r="D298" s="5">
        <v>46000</v>
      </c>
      <c r="E298" s="4">
        <v>901907732</v>
      </c>
      <c r="F298" s="4" t="s">
        <v>16</v>
      </c>
      <c r="G298" s="4">
        <v>811000784</v>
      </c>
      <c r="H298" s="4" t="s">
        <v>33</v>
      </c>
      <c r="I298" s="6">
        <f t="shared" si="4"/>
        <v>2105000</v>
      </c>
      <c r="J298" s="6">
        <v>399950</v>
      </c>
      <c r="K298" s="6">
        <v>0</v>
      </c>
      <c r="L298" s="6">
        <v>0</v>
      </c>
      <c r="M298" s="6">
        <v>0</v>
      </c>
      <c r="N298" s="6">
        <v>2504950</v>
      </c>
    </row>
    <row r="299" spans="1:14" x14ac:dyDescent="0.2">
      <c r="A299" s="4" t="s">
        <v>14</v>
      </c>
      <c r="B299" s="4" t="s">
        <v>63</v>
      </c>
      <c r="C299" s="4">
        <v>293</v>
      </c>
      <c r="D299" s="5">
        <v>46000</v>
      </c>
      <c r="E299" s="4">
        <v>901907732</v>
      </c>
      <c r="F299" s="4" t="s">
        <v>16</v>
      </c>
      <c r="G299" s="4">
        <v>811000784</v>
      </c>
      <c r="H299" s="4" t="s">
        <v>33</v>
      </c>
      <c r="I299" s="6">
        <f t="shared" si="4"/>
        <v>1590990</v>
      </c>
      <c r="J299" s="6">
        <v>0</v>
      </c>
      <c r="K299" s="6">
        <v>0</v>
      </c>
      <c r="L299" s="6">
        <v>0</v>
      </c>
      <c r="M299" s="6">
        <v>0</v>
      </c>
      <c r="N299" s="6">
        <v>1590990</v>
      </c>
    </row>
    <row r="300" spans="1:14" x14ac:dyDescent="0.2">
      <c r="A300" s="4" t="s">
        <v>14</v>
      </c>
      <c r="B300" s="4" t="s">
        <v>56</v>
      </c>
      <c r="C300" s="4">
        <v>294</v>
      </c>
      <c r="D300" s="5">
        <v>46000</v>
      </c>
      <c r="E300" s="4">
        <v>901907732</v>
      </c>
      <c r="F300" s="4" t="s">
        <v>16</v>
      </c>
      <c r="G300" s="4">
        <v>811000784</v>
      </c>
      <c r="H300" s="4" t="s">
        <v>33</v>
      </c>
      <c r="I300" s="6">
        <f t="shared" si="4"/>
        <v>280000</v>
      </c>
      <c r="J300" s="6">
        <v>0</v>
      </c>
      <c r="K300" s="6">
        <v>0</v>
      </c>
      <c r="L300" s="6">
        <v>0</v>
      </c>
      <c r="M300" s="6">
        <v>0</v>
      </c>
      <c r="N300" s="6">
        <v>280000</v>
      </c>
    </row>
    <row r="301" spans="1:14" x14ac:dyDescent="0.2">
      <c r="A301" s="4" t="s">
        <v>14</v>
      </c>
      <c r="B301" s="4" t="s">
        <v>61</v>
      </c>
      <c r="C301" s="4">
        <v>295</v>
      </c>
      <c r="D301" s="5">
        <v>46000</v>
      </c>
      <c r="E301" s="4">
        <v>901907732</v>
      </c>
      <c r="F301" s="4" t="s">
        <v>16</v>
      </c>
      <c r="G301" s="4">
        <v>901193232</v>
      </c>
      <c r="H301" s="4" t="s">
        <v>62</v>
      </c>
      <c r="I301" s="6">
        <f t="shared" si="4"/>
        <v>192485</v>
      </c>
      <c r="J301" s="6">
        <v>0</v>
      </c>
      <c r="K301" s="6">
        <v>0</v>
      </c>
      <c r="L301" s="6">
        <v>0</v>
      </c>
      <c r="M301" s="6">
        <v>0</v>
      </c>
      <c r="N301" s="6">
        <v>192485</v>
      </c>
    </row>
    <row r="302" spans="1:14" x14ac:dyDescent="0.2">
      <c r="A302" s="4" t="s">
        <v>14</v>
      </c>
      <c r="B302" s="4" t="s">
        <v>59</v>
      </c>
      <c r="C302" s="4">
        <v>296</v>
      </c>
      <c r="D302" s="5">
        <v>46000</v>
      </c>
      <c r="E302" s="4">
        <v>901907732</v>
      </c>
      <c r="F302" s="4" t="s">
        <v>16</v>
      </c>
      <c r="G302" s="4">
        <v>900383497</v>
      </c>
      <c r="H302" s="4" t="s">
        <v>60</v>
      </c>
      <c r="I302" s="6">
        <f t="shared" si="4"/>
        <v>432000</v>
      </c>
      <c r="J302" s="6">
        <v>0</v>
      </c>
      <c r="K302" s="6">
        <v>0</v>
      </c>
      <c r="L302" s="6">
        <v>0</v>
      </c>
      <c r="M302" s="6">
        <v>0</v>
      </c>
      <c r="N302" s="6">
        <v>432000</v>
      </c>
    </row>
    <row r="303" spans="1:14" x14ac:dyDescent="0.2">
      <c r="A303" s="4" t="s">
        <v>14</v>
      </c>
      <c r="B303" s="4" t="s">
        <v>57</v>
      </c>
      <c r="C303" s="4">
        <v>297</v>
      </c>
      <c r="D303" s="5">
        <v>46000</v>
      </c>
      <c r="E303" s="4">
        <v>901907732</v>
      </c>
      <c r="F303" s="4" t="s">
        <v>16</v>
      </c>
      <c r="G303" s="4">
        <v>901774691</v>
      </c>
      <c r="H303" s="4" t="s">
        <v>58</v>
      </c>
      <c r="I303" s="6">
        <f t="shared" si="4"/>
        <v>365781</v>
      </c>
      <c r="J303" s="6">
        <v>0</v>
      </c>
      <c r="K303" s="6">
        <v>0</v>
      </c>
      <c r="L303" s="6">
        <v>0</v>
      </c>
      <c r="M303" s="6">
        <v>0</v>
      </c>
      <c r="N303" s="6">
        <v>365781</v>
      </c>
    </row>
    <row r="304" spans="1:14" x14ac:dyDescent="0.2">
      <c r="A304" s="4" t="s">
        <v>14</v>
      </c>
      <c r="B304" s="4" t="s">
        <v>53</v>
      </c>
      <c r="C304" s="4">
        <v>298</v>
      </c>
      <c r="D304" s="5">
        <v>46000</v>
      </c>
      <c r="E304" s="4">
        <v>901907732</v>
      </c>
      <c r="F304" s="4" t="s">
        <v>16</v>
      </c>
      <c r="G304" s="4">
        <v>811044610</v>
      </c>
      <c r="H304" s="4" t="s">
        <v>54</v>
      </c>
      <c r="I304" s="6">
        <f t="shared" si="4"/>
        <v>654500</v>
      </c>
      <c r="J304" s="6">
        <v>124355</v>
      </c>
      <c r="K304" s="6">
        <v>0</v>
      </c>
      <c r="L304" s="6">
        <v>0</v>
      </c>
      <c r="M304" s="6">
        <v>0</v>
      </c>
      <c r="N304" s="6">
        <v>778855</v>
      </c>
    </row>
    <row r="305" spans="1:14" x14ac:dyDescent="0.2">
      <c r="A305" s="4" t="s">
        <v>14</v>
      </c>
      <c r="B305" s="4" t="s">
        <v>51</v>
      </c>
      <c r="C305" s="4">
        <v>299</v>
      </c>
      <c r="D305" s="5">
        <v>46000</v>
      </c>
      <c r="E305" s="4">
        <v>901907732</v>
      </c>
      <c r="F305" s="4" t="s">
        <v>16</v>
      </c>
      <c r="G305" s="4">
        <v>811026805</v>
      </c>
      <c r="H305" s="4" t="s">
        <v>52</v>
      </c>
      <c r="I305" s="6">
        <f t="shared" si="4"/>
        <v>550000</v>
      </c>
      <c r="J305" s="6">
        <v>104500</v>
      </c>
      <c r="K305" s="6">
        <v>0</v>
      </c>
      <c r="L305" s="6">
        <v>0</v>
      </c>
      <c r="M305" s="6">
        <v>0</v>
      </c>
      <c r="N305" s="6">
        <v>654500</v>
      </c>
    </row>
    <row r="306" spans="1:14" x14ac:dyDescent="0.2">
      <c r="A306" s="4" t="s">
        <v>14</v>
      </c>
      <c r="B306" s="4" t="s">
        <v>50</v>
      </c>
      <c r="C306" s="4">
        <v>300</v>
      </c>
      <c r="D306" s="5">
        <v>46000</v>
      </c>
      <c r="E306" s="4">
        <v>901907732</v>
      </c>
      <c r="F306" s="4" t="s">
        <v>16</v>
      </c>
      <c r="G306" s="4">
        <v>900688446</v>
      </c>
      <c r="H306" s="4" t="s">
        <v>47</v>
      </c>
      <c r="I306" s="6">
        <f t="shared" si="4"/>
        <v>2215496</v>
      </c>
      <c r="J306" s="6">
        <v>171000</v>
      </c>
      <c r="K306" s="6">
        <v>0</v>
      </c>
      <c r="L306" s="6">
        <v>0</v>
      </c>
      <c r="M306" s="6">
        <v>0</v>
      </c>
      <c r="N306" s="6">
        <v>2386496</v>
      </c>
    </row>
    <row r="307" spans="1:14" x14ac:dyDescent="0.2">
      <c r="A307" s="4" t="s">
        <v>14</v>
      </c>
      <c r="B307" s="4" t="s">
        <v>49</v>
      </c>
      <c r="C307" s="4">
        <v>301</v>
      </c>
      <c r="D307" s="5">
        <v>46000</v>
      </c>
      <c r="E307" s="4">
        <v>901907732</v>
      </c>
      <c r="F307" s="4" t="s">
        <v>16</v>
      </c>
      <c r="G307" s="4">
        <v>811017918</v>
      </c>
      <c r="H307" s="4" t="s">
        <v>19</v>
      </c>
      <c r="I307" s="6">
        <f t="shared" si="4"/>
        <v>900000</v>
      </c>
      <c r="J307" s="6">
        <v>171000</v>
      </c>
      <c r="K307" s="6">
        <v>0</v>
      </c>
      <c r="L307" s="6">
        <v>0</v>
      </c>
      <c r="M307" s="6">
        <v>0</v>
      </c>
      <c r="N307" s="6">
        <v>1071000</v>
      </c>
    </row>
    <row r="308" spans="1:14" x14ac:dyDescent="0.2">
      <c r="A308" s="4" t="s">
        <v>14</v>
      </c>
      <c r="B308" s="4" t="s">
        <v>48</v>
      </c>
      <c r="C308" s="4">
        <v>302</v>
      </c>
      <c r="D308" s="5">
        <v>46000</v>
      </c>
      <c r="E308" s="4">
        <v>901907732</v>
      </c>
      <c r="F308" s="4" t="s">
        <v>16</v>
      </c>
      <c r="G308" s="4">
        <v>890910970</v>
      </c>
      <c r="H308" s="4" t="s">
        <v>25</v>
      </c>
      <c r="I308" s="6">
        <f t="shared" si="4"/>
        <v>1400000</v>
      </c>
      <c r="J308" s="6">
        <v>266000</v>
      </c>
      <c r="K308" s="6">
        <v>0</v>
      </c>
      <c r="L308" s="6">
        <v>0</v>
      </c>
      <c r="M308" s="6">
        <v>0</v>
      </c>
      <c r="N308" s="6">
        <v>1666000</v>
      </c>
    </row>
    <row r="309" spans="1:14" x14ac:dyDescent="0.2">
      <c r="A309" s="4" t="s">
        <v>14</v>
      </c>
      <c r="B309" s="4" t="s">
        <v>46</v>
      </c>
      <c r="C309" s="4">
        <v>303</v>
      </c>
      <c r="D309" s="5">
        <v>46000</v>
      </c>
      <c r="E309" s="4">
        <v>901907732</v>
      </c>
      <c r="F309" s="4" t="s">
        <v>16</v>
      </c>
      <c r="G309" s="4">
        <v>900688446</v>
      </c>
      <c r="H309" s="4" t="s">
        <v>47</v>
      </c>
      <c r="I309" s="6">
        <f t="shared" si="4"/>
        <v>157200</v>
      </c>
      <c r="J309" s="6">
        <v>29868</v>
      </c>
      <c r="K309" s="6">
        <v>0</v>
      </c>
      <c r="L309" s="6">
        <v>0</v>
      </c>
      <c r="M309" s="6">
        <v>0</v>
      </c>
      <c r="N309" s="6">
        <v>187068</v>
      </c>
    </row>
    <row r="310" spans="1:14" x14ac:dyDescent="0.2">
      <c r="A310" s="4" t="s">
        <v>14</v>
      </c>
      <c r="B310" s="4" t="s">
        <v>45</v>
      </c>
      <c r="C310" s="4">
        <v>304</v>
      </c>
      <c r="D310" s="5">
        <v>46000</v>
      </c>
      <c r="E310" s="4">
        <v>901907732</v>
      </c>
      <c r="F310" s="4" t="s">
        <v>16</v>
      </c>
      <c r="G310" s="4">
        <v>811017918</v>
      </c>
      <c r="H310" s="4" t="s">
        <v>19</v>
      </c>
      <c r="I310" s="6">
        <f t="shared" si="4"/>
        <v>162000</v>
      </c>
      <c r="J310" s="6">
        <v>30780</v>
      </c>
      <c r="K310" s="6">
        <v>0</v>
      </c>
      <c r="L310" s="6">
        <v>0</v>
      </c>
      <c r="M310" s="6">
        <v>0</v>
      </c>
      <c r="N310" s="6">
        <v>192780</v>
      </c>
    </row>
    <row r="311" spans="1:14" x14ac:dyDescent="0.2">
      <c r="A311" s="4" t="s">
        <v>14</v>
      </c>
      <c r="B311" s="4" t="s">
        <v>44</v>
      </c>
      <c r="C311" s="4">
        <v>305</v>
      </c>
      <c r="D311" s="5">
        <v>46000</v>
      </c>
      <c r="E311" s="4">
        <v>901907732</v>
      </c>
      <c r="F311" s="4" t="s">
        <v>16</v>
      </c>
      <c r="G311" s="4">
        <v>811017918</v>
      </c>
      <c r="H311" s="4" t="s">
        <v>19</v>
      </c>
      <c r="I311" s="6">
        <f t="shared" si="4"/>
        <v>50462.18</v>
      </c>
      <c r="J311" s="6">
        <v>9587.82</v>
      </c>
      <c r="K311" s="6">
        <v>0</v>
      </c>
      <c r="L311" s="6">
        <v>0</v>
      </c>
      <c r="M311" s="6">
        <v>0</v>
      </c>
      <c r="N311" s="6">
        <v>60050</v>
      </c>
    </row>
    <row r="312" spans="1:14" x14ac:dyDescent="0.2">
      <c r="A312" s="4" t="s">
        <v>14</v>
      </c>
      <c r="B312" s="4" t="s">
        <v>35</v>
      </c>
      <c r="C312" s="4">
        <v>306</v>
      </c>
      <c r="D312" s="5">
        <v>46006</v>
      </c>
      <c r="E312" s="4">
        <v>901907732</v>
      </c>
      <c r="F312" s="4" t="s">
        <v>16</v>
      </c>
      <c r="G312" s="4">
        <v>900643097</v>
      </c>
      <c r="H312" s="4" t="s">
        <v>36</v>
      </c>
      <c r="I312" s="6">
        <f t="shared" si="4"/>
        <v>3744000</v>
      </c>
      <c r="J312" s="6">
        <v>0</v>
      </c>
      <c r="K312" s="6">
        <v>0</v>
      </c>
      <c r="L312" s="6">
        <v>0</v>
      </c>
      <c r="M312" s="6">
        <v>0</v>
      </c>
      <c r="N312" s="6">
        <v>3744000</v>
      </c>
    </row>
    <row r="313" spans="1:14" x14ac:dyDescent="0.2">
      <c r="A313" s="4" t="s">
        <v>14</v>
      </c>
      <c r="B313" s="4" t="s">
        <v>34</v>
      </c>
      <c r="C313" s="4">
        <v>307</v>
      </c>
      <c r="D313" s="5">
        <v>46008</v>
      </c>
      <c r="E313" s="4">
        <v>901907732</v>
      </c>
      <c r="F313" s="4" t="s">
        <v>16</v>
      </c>
      <c r="G313" s="4">
        <v>811000784</v>
      </c>
      <c r="H313" s="4" t="s">
        <v>33</v>
      </c>
      <c r="I313" s="6">
        <f t="shared" si="4"/>
        <v>2430000</v>
      </c>
      <c r="J313" s="6">
        <v>461700</v>
      </c>
      <c r="K313" s="6">
        <v>0</v>
      </c>
      <c r="L313" s="6">
        <v>0</v>
      </c>
      <c r="M313" s="6">
        <v>0</v>
      </c>
      <c r="N313" s="6">
        <v>2891700</v>
      </c>
    </row>
    <row r="314" spans="1:14" x14ac:dyDescent="0.2">
      <c r="A314" s="4" t="s">
        <v>14</v>
      </c>
      <c r="B314" s="4" t="s">
        <v>32</v>
      </c>
      <c r="C314" s="4">
        <v>308</v>
      </c>
      <c r="D314" s="5">
        <v>46008</v>
      </c>
      <c r="E314" s="4">
        <v>901907732</v>
      </c>
      <c r="F314" s="4" t="s">
        <v>16</v>
      </c>
      <c r="G314" s="4">
        <v>811000784</v>
      </c>
      <c r="H314" s="4" t="s">
        <v>33</v>
      </c>
      <c r="I314" s="6">
        <f t="shared" si="4"/>
        <v>180000</v>
      </c>
      <c r="J314" s="6">
        <v>34200</v>
      </c>
      <c r="K314" s="6">
        <v>0</v>
      </c>
      <c r="L314" s="6">
        <v>0</v>
      </c>
      <c r="M314" s="6">
        <v>0</v>
      </c>
      <c r="N314" s="6">
        <v>214200</v>
      </c>
    </row>
    <row r="315" spans="1:14" x14ac:dyDescent="0.2">
      <c r="A315" s="4" t="s">
        <v>14</v>
      </c>
      <c r="B315" s="4" t="s">
        <v>30</v>
      </c>
      <c r="C315" s="4">
        <v>309</v>
      </c>
      <c r="D315" s="5">
        <v>46008</v>
      </c>
      <c r="E315" s="4">
        <v>901907732</v>
      </c>
      <c r="F315" s="4" t="s">
        <v>16</v>
      </c>
      <c r="G315" s="4">
        <v>901897598</v>
      </c>
      <c r="H315" s="4" t="s">
        <v>31</v>
      </c>
      <c r="I315" s="6">
        <f t="shared" si="4"/>
        <v>1360000</v>
      </c>
      <c r="J315" s="6">
        <v>258400</v>
      </c>
      <c r="K315" s="6">
        <v>0</v>
      </c>
      <c r="L315" s="6">
        <v>0</v>
      </c>
      <c r="M315" s="6">
        <v>0</v>
      </c>
      <c r="N315" s="6">
        <v>1618400</v>
      </c>
    </row>
    <row r="316" spans="1:14" x14ac:dyDescent="0.2">
      <c r="A316" s="4" t="s">
        <v>14</v>
      </c>
      <c r="B316" s="4" t="s">
        <v>15</v>
      </c>
      <c r="C316" s="4">
        <v>310</v>
      </c>
      <c r="D316" s="5">
        <v>46008</v>
      </c>
      <c r="E316" s="4">
        <v>901907732</v>
      </c>
      <c r="F316" s="4" t="s">
        <v>16</v>
      </c>
      <c r="G316" s="4">
        <v>901495799</v>
      </c>
      <c r="H316" s="4" t="s">
        <v>17</v>
      </c>
      <c r="I316" s="6">
        <f t="shared" si="4"/>
        <v>27069164</v>
      </c>
      <c r="J316" s="6">
        <v>5143141.16</v>
      </c>
      <c r="K316" s="6">
        <v>0</v>
      </c>
      <c r="L316" s="6">
        <v>0</v>
      </c>
      <c r="M316" s="6">
        <v>0</v>
      </c>
      <c r="N316" s="6">
        <v>32212305.16</v>
      </c>
    </row>
    <row r="317" spans="1:14" x14ac:dyDescent="0.2">
      <c r="A317" s="4" t="s">
        <v>14</v>
      </c>
      <c r="B317" s="4" t="s">
        <v>28</v>
      </c>
      <c r="C317" s="4">
        <v>311</v>
      </c>
      <c r="D317" s="5">
        <v>46010</v>
      </c>
      <c r="E317" s="4">
        <v>901907732</v>
      </c>
      <c r="F317" s="4" t="s">
        <v>16</v>
      </c>
      <c r="G317" s="4">
        <v>890932241</v>
      </c>
      <c r="H317" s="4" t="s">
        <v>29</v>
      </c>
      <c r="I317" s="6">
        <f t="shared" si="4"/>
        <v>160000</v>
      </c>
      <c r="J317" s="6">
        <v>30400</v>
      </c>
      <c r="K317" s="6">
        <v>0</v>
      </c>
      <c r="L317" s="6">
        <v>0</v>
      </c>
      <c r="M317" s="6">
        <v>0</v>
      </c>
      <c r="N317" s="6">
        <v>190400</v>
      </c>
    </row>
    <row r="318" spans="1:14" x14ac:dyDescent="0.2">
      <c r="A318" s="4" t="s">
        <v>14</v>
      </c>
      <c r="B318" s="4" t="s">
        <v>27</v>
      </c>
      <c r="C318" s="4">
        <v>312</v>
      </c>
      <c r="D318" s="5">
        <v>46014</v>
      </c>
      <c r="E318" s="4">
        <v>901907732</v>
      </c>
      <c r="F318" s="4" t="s">
        <v>16</v>
      </c>
      <c r="G318" s="4">
        <v>901344156</v>
      </c>
      <c r="H318" s="4" t="s">
        <v>23</v>
      </c>
      <c r="I318" s="6">
        <f t="shared" si="4"/>
        <v>3000000</v>
      </c>
      <c r="J318" s="6">
        <v>0</v>
      </c>
      <c r="K318" s="6">
        <v>0</v>
      </c>
      <c r="L318" s="6">
        <v>0</v>
      </c>
      <c r="M318" s="6">
        <v>0</v>
      </c>
      <c r="N318" s="6">
        <v>3000000</v>
      </c>
    </row>
    <row r="319" spans="1:14" x14ac:dyDescent="0.2">
      <c r="A319" s="4" t="s">
        <v>14</v>
      </c>
      <c r="B319" s="4" t="s">
        <v>26</v>
      </c>
      <c r="C319" s="4">
        <v>313</v>
      </c>
      <c r="D319" s="5">
        <v>46014</v>
      </c>
      <c r="E319" s="4">
        <v>901907732</v>
      </c>
      <c r="F319" s="4" t="s">
        <v>16</v>
      </c>
      <c r="G319" s="4">
        <v>811017918</v>
      </c>
      <c r="H319" s="4" t="s">
        <v>19</v>
      </c>
      <c r="I319" s="6">
        <f t="shared" si="4"/>
        <v>180000</v>
      </c>
      <c r="J319" s="6">
        <v>34200</v>
      </c>
      <c r="K319" s="6">
        <v>0</v>
      </c>
      <c r="L319" s="6">
        <v>0</v>
      </c>
      <c r="M319" s="6">
        <v>0</v>
      </c>
      <c r="N319" s="6">
        <v>214200</v>
      </c>
    </row>
    <row r="320" spans="1:14" x14ac:dyDescent="0.2">
      <c r="A320" s="4" t="s">
        <v>14</v>
      </c>
      <c r="B320" s="4" t="s">
        <v>24</v>
      </c>
      <c r="C320" s="4">
        <v>314</v>
      </c>
      <c r="D320" s="5">
        <v>46020</v>
      </c>
      <c r="E320" s="4">
        <v>901907732</v>
      </c>
      <c r="F320" s="4" t="s">
        <v>16</v>
      </c>
      <c r="G320" s="4">
        <v>890910970</v>
      </c>
      <c r="H320" s="4" t="s">
        <v>25</v>
      </c>
      <c r="I320" s="6">
        <f t="shared" si="4"/>
        <v>2100000</v>
      </c>
      <c r="J320" s="6">
        <v>399000</v>
      </c>
      <c r="K320" s="6">
        <v>0</v>
      </c>
      <c r="L320" s="6">
        <v>0</v>
      </c>
      <c r="M320" s="6">
        <v>0</v>
      </c>
      <c r="N320" s="6">
        <v>2499000</v>
      </c>
    </row>
    <row r="321" spans="1:14" x14ac:dyDescent="0.2">
      <c r="A321" s="4" t="s">
        <v>14</v>
      </c>
      <c r="B321" s="4" t="s">
        <v>22</v>
      </c>
      <c r="C321" s="4">
        <v>315</v>
      </c>
      <c r="D321" s="5">
        <v>46020</v>
      </c>
      <c r="E321" s="4">
        <v>901907732</v>
      </c>
      <c r="F321" s="4" t="s">
        <v>16</v>
      </c>
      <c r="G321" s="4">
        <v>901344156</v>
      </c>
      <c r="H321" s="4" t="s">
        <v>23</v>
      </c>
      <c r="I321" s="6">
        <f t="shared" si="4"/>
        <v>2100000</v>
      </c>
      <c r="J321" s="6">
        <v>399000</v>
      </c>
      <c r="K321" s="6">
        <v>0</v>
      </c>
      <c r="L321" s="6">
        <v>0</v>
      </c>
      <c r="M321" s="6">
        <v>0</v>
      </c>
      <c r="N321" s="6">
        <v>2499000</v>
      </c>
    </row>
    <row r="322" spans="1:14" x14ac:dyDescent="0.2">
      <c r="A322" s="4" t="s">
        <v>14</v>
      </c>
      <c r="B322" s="4" t="s">
        <v>20</v>
      </c>
      <c r="C322" s="4">
        <v>316</v>
      </c>
      <c r="D322" s="5">
        <v>46020</v>
      </c>
      <c r="E322" s="4">
        <v>901907732</v>
      </c>
      <c r="F322" s="4" t="s">
        <v>16</v>
      </c>
      <c r="G322" s="4">
        <v>860022343</v>
      </c>
      <c r="H322" s="4" t="s">
        <v>21</v>
      </c>
      <c r="I322" s="6">
        <f t="shared" ref="I322:I342" si="5">+N322-M322-L322-K322-J322</f>
        <v>18720000</v>
      </c>
      <c r="J322" s="6">
        <v>3556800</v>
      </c>
      <c r="K322" s="6">
        <v>0</v>
      </c>
      <c r="L322" s="6">
        <v>0</v>
      </c>
      <c r="M322" s="6">
        <v>0</v>
      </c>
      <c r="N322" s="6">
        <v>22276800</v>
      </c>
    </row>
    <row r="323" spans="1:14" x14ac:dyDescent="0.2">
      <c r="A323" s="4" t="s">
        <v>14</v>
      </c>
      <c r="B323" s="4" t="s">
        <v>18</v>
      </c>
      <c r="C323" s="4">
        <v>317</v>
      </c>
      <c r="D323" s="5">
        <v>46021</v>
      </c>
      <c r="E323" s="4">
        <v>901907732</v>
      </c>
      <c r="F323" s="4" t="s">
        <v>16</v>
      </c>
      <c r="G323" s="4">
        <v>811017918</v>
      </c>
      <c r="H323" s="4" t="s">
        <v>19</v>
      </c>
      <c r="I323" s="6">
        <f t="shared" si="5"/>
        <v>6460000</v>
      </c>
      <c r="J323" s="6">
        <v>0</v>
      </c>
      <c r="K323" s="6">
        <v>0</v>
      </c>
      <c r="L323" s="6">
        <v>0</v>
      </c>
      <c r="M323" s="6">
        <v>0</v>
      </c>
      <c r="N323" s="6">
        <v>6460000</v>
      </c>
    </row>
    <row r="324" spans="1:14" x14ac:dyDescent="0.2">
      <c r="A324" s="4" t="s">
        <v>77</v>
      </c>
      <c r="B324" s="4" t="s">
        <v>420</v>
      </c>
      <c r="C324" s="4" t="s">
        <v>421</v>
      </c>
      <c r="D324" s="5">
        <v>45723</v>
      </c>
      <c r="E324" s="4">
        <v>901907732</v>
      </c>
      <c r="F324" s="4" t="s">
        <v>16</v>
      </c>
      <c r="G324" s="4">
        <v>901774691</v>
      </c>
      <c r="H324" s="4" t="s">
        <v>58</v>
      </c>
      <c r="I324" s="6">
        <f t="shared" si="5"/>
        <v>-367811</v>
      </c>
      <c r="J324" s="6">
        <v>0</v>
      </c>
      <c r="K324" s="6">
        <v>0</v>
      </c>
      <c r="L324" s="6">
        <v>0</v>
      </c>
      <c r="M324" s="6">
        <v>0</v>
      </c>
      <c r="N324" s="6">
        <v>-367811</v>
      </c>
    </row>
    <row r="325" spans="1:14" x14ac:dyDescent="0.2">
      <c r="A325" s="4" t="s">
        <v>77</v>
      </c>
      <c r="B325" s="4" t="s">
        <v>263</v>
      </c>
      <c r="C325" s="4" t="s">
        <v>264</v>
      </c>
      <c r="D325" s="5">
        <v>45870</v>
      </c>
      <c r="E325" s="4">
        <v>901907732</v>
      </c>
      <c r="F325" s="4" t="s">
        <v>16</v>
      </c>
      <c r="G325" s="4">
        <v>900643097</v>
      </c>
      <c r="H325" s="4" t="s">
        <v>36</v>
      </c>
      <c r="I325" s="6">
        <f t="shared" si="5"/>
        <v>-3110206</v>
      </c>
      <c r="J325" s="6">
        <v>-218500</v>
      </c>
      <c r="K325" s="6">
        <v>0</v>
      </c>
      <c r="L325" s="6">
        <v>0</v>
      </c>
      <c r="M325" s="6">
        <v>0</v>
      </c>
      <c r="N325" s="6">
        <v>-3328706</v>
      </c>
    </row>
    <row r="326" spans="1:14" x14ac:dyDescent="0.2">
      <c r="A326" s="4" t="s">
        <v>77</v>
      </c>
      <c r="B326" s="4" t="s">
        <v>231</v>
      </c>
      <c r="C326" s="4" t="s">
        <v>232</v>
      </c>
      <c r="D326" s="5">
        <v>45898</v>
      </c>
      <c r="E326" s="4">
        <v>901907732</v>
      </c>
      <c r="F326" s="4" t="s">
        <v>16</v>
      </c>
      <c r="G326" s="4">
        <v>811044610</v>
      </c>
      <c r="H326" s="4" t="s">
        <v>54</v>
      </c>
      <c r="I326" s="6">
        <f t="shared" si="5"/>
        <v>-8150000</v>
      </c>
      <c r="J326" s="6">
        <v>-43700</v>
      </c>
      <c r="K326" s="6">
        <v>0</v>
      </c>
      <c r="L326" s="6">
        <v>0</v>
      </c>
      <c r="M326" s="6">
        <v>0</v>
      </c>
      <c r="N326" s="6">
        <v>-8193700</v>
      </c>
    </row>
    <row r="327" spans="1:14" x14ac:dyDescent="0.2">
      <c r="A327" s="4" t="s">
        <v>77</v>
      </c>
      <c r="B327" s="4" t="s">
        <v>164</v>
      </c>
      <c r="C327" s="4" t="s">
        <v>165</v>
      </c>
      <c r="D327" s="5">
        <v>45940</v>
      </c>
      <c r="E327" s="4">
        <v>901907732</v>
      </c>
      <c r="F327" s="4" t="s">
        <v>16</v>
      </c>
      <c r="G327" s="4">
        <v>830087371</v>
      </c>
      <c r="H327" s="4" t="s">
        <v>162</v>
      </c>
      <c r="I327" s="6">
        <f t="shared" si="5"/>
        <v>-16875000</v>
      </c>
      <c r="J327" s="6">
        <v>0</v>
      </c>
      <c r="K327" s="6">
        <v>0</v>
      </c>
      <c r="L327" s="6">
        <v>0</v>
      </c>
      <c r="M327" s="6">
        <v>0</v>
      </c>
      <c r="N327" s="6">
        <v>-16875000</v>
      </c>
    </row>
    <row r="328" spans="1:14" x14ac:dyDescent="0.2">
      <c r="A328" s="4" t="s">
        <v>77</v>
      </c>
      <c r="B328" s="4" t="s">
        <v>156</v>
      </c>
      <c r="C328" s="4" t="s">
        <v>157</v>
      </c>
      <c r="D328" s="5">
        <v>45947</v>
      </c>
      <c r="E328" s="4">
        <v>901907732</v>
      </c>
      <c r="F328" s="4" t="s">
        <v>16</v>
      </c>
      <c r="G328" s="4">
        <v>811000784</v>
      </c>
      <c r="H328" s="4" t="s">
        <v>33</v>
      </c>
      <c r="I328" s="6">
        <f t="shared" si="5"/>
        <v>-456000</v>
      </c>
      <c r="J328" s="6">
        <v>-86640</v>
      </c>
      <c r="K328" s="6">
        <v>0</v>
      </c>
      <c r="L328" s="6">
        <v>0</v>
      </c>
      <c r="M328" s="6">
        <v>0</v>
      </c>
      <c r="N328" s="6">
        <v>-542640</v>
      </c>
    </row>
    <row r="329" spans="1:14" x14ac:dyDescent="0.2">
      <c r="A329" s="4" t="s">
        <v>77</v>
      </c>
      <c r="B329" s="4" t="s">
        <v>151</v>
      </c>
      <c r="C329" s="4" t="s">
        <v>152</v>
      </c>
      <c r="D329" s="5">
        <v>45955</v>
      </c>
      <c r="E329" s="4">
        <v>901907732</v>
      </c>
      <c r="F329" s="4" t="s">
        <v>16</v>
      </c>
      <c r="G329" s="4">
        <v>901344156</v>
      </c>
      <c r="H329" s="4" t="s">
        <v>23</v>
      </c>
      <c r="I329" s="6">
        <f t="shared" si="5"/>
        <v>-1550000</v>
      </c>
      <c r="J329" s="6">
        <v>-57000</v>
      </c>
      <c r="K329" s="6">
        <v>0</v>
      </c>
      <c r="L329" s="6">
        <v>0</v>
      </c>
      <c r="M329" s="6">
        <v>0</v>
      </c>
      <c r="N329" s="6">
        <v>-1607000</v>
      </c>
    </row>
    <row r="330" spans="1:14" x14ac:dyDescent="0.2">
      <c r="A330" s="4" t="s">
        <v>77</v>
      </c>
      <c r="B330" s="4" t="s">
        <v>148</v>
      </c>
      <c r="C330" s="4" t="s">
        <v>149</v>
      </c>
      <c r="D330" s="5">
        <v>45955</v>
      </c>
      <c r="E330" s="4">
        <v>901907732</v>
      </c>
      <c r="F330" s="4" t="s">
        <v>16</v>
      </c>
      <c r="G330" s="4">
        <v>890910970</v>
      </c>
      <c r="H330" s="4" t="s">
        <v>25</v>
      </c>
      <c r="I330" s="6">
        <f t="shared" si="5"/>
        <v>-1550000</v>
      </c>
      <c r="J330" s="6">
        <v>0</v>
      </c>
      <c r="K330" s="6">
        <v>0</v>
      </c>
      <c r="L330" s="6">
        <v>0</v>
      </c>
      <c r="M330" s="6">
        <v>0</v>
      </c>
      <c r="N330" s="6">
        <v>-1550000</v>
      </c>
    </row>
    <row r="331" spans="1:14" x14ac:dyDescent="0.2">
      <c r="A331" s="4" t="s">
        <v>77</v>
      </c>
      <c r="B331" s="4" t="s">
        <v>124</v>
      </c>
      <c r="C331" s="4" t="s">
        <v>125</v>
      </c>
      <c r="D331" s="5">
        <v>45963</v>
      </c>
      <c r="E331" s="4">
        <v>901907732</v>
      </c>
      <c r="F331" s="4" t="s">
        <v>16</v>
      </c>
      <c r="G331" s="4">
        <v>901225179</v>
      </c>
      <c r="H331" s="4" t="s">
        <v>126</v>
      </c>
      <c r="I331" s="6">
        <f t="shared" si="5"/>
        <v>-868854</v>
      </c>
      <c r="J331" s="6">
        <v>0</v>
      </c>
      <c r="K331" s="6">
        <v>0</v>
      </c>
      <c r="L331" s="6">
        <v>0</v>
      </c>
      <c r="M331" s="6">
        <v>0</v>
      </c>
      <c r="N331" s="6">
        <v>-868854</v>
      </c>
    </row>
    <row r="332" spans="1:14" x14ac:dyDescent="0.2">
      <c r="A332" s="4" t="s">
        <v>77</v>
      </c>
      <c r="B332" s="4" t="s">
        <v>106</v>
      </c>
      <c r="C332" s="4" t="s">
        <v>107</v>
      </c>
      <c r="D332" s="5">
        <v>45973</v>
      </c>
      <c r="E332" s="4">
        <v>901907732</v>
      </c>
      <c r="F332" s="4" t="s">
        <v>16</v>
      </c>
      <c r="G332" s="4">
        <v>900688446</v>
      </c>
      <c r="H332" s="4" t="s">
        <v>47</v>
      </c>
      <c r="I332" s="6">
        <f t="shared" si="5"/>
        <v>-1020000</v>
      </c>
      <c r="J332" s="6">
        <v>-193800</v>
      </c>
      <c r="K332" s="6">
        <v>0</v>
      </c>
      <c r="L332" s="6">
        <v>0</v>
      </c>
      <c r="M332" s="6">
        <v>0</v>
      </c>
      <c r="N332" s="6">
        <v>-1213800</v>
      </c>
    </row>
    <row r="333" spans="1:14" x14ac:dyDescent="0.2">
      <c r="A333" s="4" t="s">
        <v>77</v>
      </c>
      <c r="B333" s="4" t="s">
        <v>97</v>
      </c>
      <c r="C333" s="4" t="s">
        <v>98</v>
      </c>
      <c r="D333" s="5">
        <v>45975</v>
      </c>
      <c r="E333" s="4">
        <v>901907732</v>
      </c>
      <c r="F333" s="4" t="s">
        <v>16</v>
      </c>
      <c r="G333" s="4">
        <v>900688446</v>
      </c>
      <c r="H333" s="4" t="s">
        <v>47</v>
      </c>
      <c r="I333" s="6">
        <f t="shared" si="5"/>
        <v>-1244546.22</v>
      </c>
      <c r="J333" s="6">
        <v>-236463.78</v>
      </c>
      <c r="K333" s="6">
        <v>0</v>
      </c>
      <c r="L333" s="6">
        <v>0</v>
      </c>
      <c r="M333" s="6">
        <v>0</v>
      </c>
      <c r="N333" s="6">
        <v>-1481010</v>
      </c>
    </row>
    <row r="334" spans="1:14" x14ac:dyDescent="0.2">
      <c r="A334" s="4" t="s">
        <v>77</v>
      </c>
      <c r="B334" s="4" t="s">
        <v>78</v>
      </c>
      <c r="C334" s="4" t="s">
        <v>79</v>
      </c>
      <c r="D334" s="5">
        <v>45990</v>
      </c>
      <c r="E334" s="4">
        <v>901907732</v>
      </c>
      <c r="F334" s="4" t="s">
        <v>16</v>
      </c>
      <c r="G334" s="4">
        <v>900742678</v>
      </c>
      <c r="H334" s="4" t="s">
        <v>80</v>
      </c>
      <c r="I334" s="6">
        <f t="shared" si="5"/>
        <v>-650000</v>
      </c>
      <c r="J334" s="6">
        <v>-123500</v>
      </c>
      <c r="K334" s="6">
        <v>0</v>
      </c>
      <c r="L334" s="6">
        <v>0</v>
      </c>
      <c r="M334" s="6">
        <v>0</v>
      </c>
      <c r="N334" s="6">
        <v>-773500</v>
      </c>
    </row>
    <row r="335" spans="1:14" x14ac:dyDescent="0.2">
      <c r="A335" s="4" t="s">
        <v>77</v>
      </c>
      <c r="B335" s="4" t="s">
        <v>416</v>
      </c>
      <c r="C335" s="4" t="s">
        <v>417</v>
      </c>
      <c r="D335" s="5">
        <v>45723</v>
      </c>
      <c r="E335" s="4">
        <v>901907732</v>
      </c>
      <c r="F335" s="4" t="s">
        <v>16</v>
      </c>
      <c r="G335" s="4">
        <v>900383497</v>
      </c>
      <c r="H335" s="4" t="s">
        <v>60</v>
      </c>
      <c r="I335" s="6">
        <f t="shared" si="5"/>
        <v>-430000</v>
      </c>
      <c r="J335" s="6">
        <v>-81700</v>
      </c>
      <c r="K335" s="6">
        <v>0</v>
      </c>
      <c r="L335" s="6">
        <v>0</v>
      </c>
      <c r="M335" s="6">
        <v>0</v>
      </c>
      <c r="N335" s="6">
        <v>-511700</v>
      </c>
    </row>
    <row r="336" spans="1:14" x14ac:dyDescent="0.2">
      <c r="A336" s="4" t="s">
        <v>77</v>
      </c>
      <c r="B336" s="4" t="s">
        <v>359</v>
      </c>
      <c r="C336" s="4" t="s">
        <v>360</v>
      </c>
      <c r="D336" s="5">
        <v>45785</v>
      </c>
      <c r="E336" s="4">
        <v>901907732</v>
      </c>
      <c r="F336" s="4" t="s">
        <v>16</v>
      </c>
      <c r="G336" s="4">
        <v>901495799</v>
      </c>
      <c r="H336" s="4" t="s">
        <v>17</v>
      </c>
      <c r="I336" s="6">
        <f t="shared" si="5"/>
        <v>-2128439</v>
      </c>
      <c r="J336" s="6">
        <v>-278877.06</v>
      </c>
      <c r="K336" s="6">
        <v>0</v>
      </c>
      <c r="L336" s="6">
        <v>0</v>
      </c>
      <c r="M336" s="6">
        <v>0</v>
      </c>
      <c r="N336" s="6">
        <v>-2407316.06</v>
      </c>
    </row>
    <row r="337" spans="1:14" x14ac:dyDescent="0.2">
      <c r="A337" s="4" t="s">
        <v>77</v>
      </c>
      <c r="B337" s="4" t="s">
        <v>354</v>
      </c>
      <c r="C337" s="4" t="s">
        <v>355</v>
      </c>
      <c r="D337" s="5">
        <v>45798</v>
      </c>
      <c r="E337" s="4">
        <v>901907732</v>
      </c>
      <c r="F337" s="4" t="s">
        <v>16</v>
      </c>
      <c r="G337" s="4">
        <v>900208742</v>
      </c>
      <c r="H337" s="4" t="s">
        <v>67</v>
      </c>
      <c r="I337" s="6">
        <f t="shared" si="5"/>
        <v>-580000</v>
      </c>
      <c r="J337" s="6">
        <v>0</v>
      </c>
      <c r="K337" s="6">
        <v>0</v>
      </c>
      <c r="L337" s="6">
        <v>0</v>
      </c>
      <c r="M337" s="6">
        <v>0</v>
      </c>
      <c r="N337" s="6">
        <v>-580000</v>
      </c>
    </row>
    <row r="338" spans="1:14" x14ac:dyDescent="0.2">
      <c r="A338" s="4" t="s">
        <v>77</v>
      </c>
      <c r="B338" s="4" t="s">
        <v>351</v>
      </c>
      <c r="C338" s="4" t="s">
        <v>352</v>
      </c>
      <c r="D338" s="5">
        <v>45798</v>
      </c>
      <c r="E338" s="4">
        <v>901907732</v>
      </c>
      <c r="F338" s="4" t="s">
        <v>16</v>
      </c>
      <c r="G338" s="4">
        <v>900208742</v>
      </c>
      <c r="H338" s="4" t="s">
        <v>67</v>
      </c>
      <c r="I338" s="6">
        <f t="shared" si="5"/>
        <v>-200000</v>
      </c>
      <c r="J338" s="6">
        <v>0</v>
      </c>
      <c r="K338" s="6">
        <v>0</v>
      </c>
      <c r="L338" s="6">
        <v>0</v>
      </c>
      <c r="M338" s="6">
        <v>0</v>
      </c>
      <c r="N338" s="6">
        <v>-200000</v>
      </c>
    </row>
    <row r="339" spans="1:14" x14ac:dyDescent="0.2">
      <c r="A339" s="4" t="s">
        <v>77</v>
      </c>
      <c r="B339" s="4" t="s">
        <v>287</v>
      </c>
      <c r="C339" s="4" t="s">
        <v>288</v>
      </c>
      <c r="D339" s="5">
        <v>45849</v>
      </c>
      <c r="E339" s="4">
        <v>901907732</v>
      </c>
      <c r="F339" s="4" t="s">
        <v>16</v>
      </c>
      <c r="G339" s="4">
        <v>901884325</v>
      </c>
      <c r="H339" s="4" t="s">
        <v>289</v>
      </c>
      <c r="I339" s="6">
        <f t="shared" si="5"/>
        <v>-476575.00000000006</v>
      </c>
      <c r="J339" s="6">
        <v>-61972.68</v>
      </c>
      <c r="K339" s="6">
        <v>0</v>
      </c>
      <c r="L339" s="6">
        <v>0</v>
      </c>
      <c r="M339" s="6">
        <v>0</v>
      </c>
      <c r="N339" s="6">
        <v>-538547.68000000005</v>
      </c>
    </row>
    <row r="340" spans="1:14" x14ac:dyDescent="0.2">
      <c r="A340" s="4" t="s">
        <v>77</v>
      </c>
      <c r="B340" s="4" t="s">
        <v>285</v>
      </c>
      <c r="C340" s="4" t="s">
        <v>286</v>
      </c>
      <c r="D340" s="5">
        <v>45849</v>
      </c>
      <c r="E340" s="4">
        <v>901907732</v>
      </c>
      <c r="F340" s="4" t="s">
        <v>16</v>
      </c>
      <c r="G340" s="4">
        <v>901774691</v>
      </c>
      <c r="H340" s="4" t="s">
        <v>58</v>
      </c>
      <c r="I340" s="6">
        <f t="shared" si="5"/>
        <v>-1492528</v>
      </c>
      <c r="J340" s="6">
        <v>0</v>
      </c>
      <c r="K340" s="6">
        <v>0</v>
      </c>
      <c r="L340" s="6">
        <v>0</v>
      </c>
      <c r="M340" s="6">
        <v>0</v>
      </c>
      <c r="N340" s="6">
        <v>-1492528</v>
      </c>
    </row>
    <row r="341" spans="1:14" x14ac:dyDescent="0.2">
      <c r="A341" s="4" t="s">
        <v>77</v>
      </c>
      <c r="B341" s="4" t="s">
        <v>281</v>
      </c>
      <c r="C341" s="4" t="s">
        <v>282</v>
      </c>
      <c r="D341" s="5">
        <v>45856</v>
      </c>
      <c r="E341" s="4">
        <v>901907732</v>
      </c>
      <c r="F341" s="4" t="s">
        <v>16</v>
      </c>
      <c r="G341" s="4">
        <v>900825963</v>
      </c>
      <c r="H341" s="4" t="s">
        <v>138</v>
      </c>
      <c r="I341" s="6">
        <f t="shared" si="5"/>
        <v>-588919</v>
      </c>
      <c r="J341" s="6">
        <v>0</v>
      </c>
      <c r="K341" s="6">
        <v>0</v>
      </c>
      <c r="L341" s="6">
        <v>0</v>
      </c>
      <c r="M341" s="6">
        <v>0</v>
      </c>
      <c r="N341" s="6">
        <v>-588919</v>
      </c>
    </row>
    <row r="342" spans="1:14" x14ac:dyDescent="0.2">
      <c r="A342" s="4" t="s">
        <v>77</v>
      </c>
      <c r="B342" s="4" t="s">
        <v>278</v>
      </c>
      <c r="C342" s="4" t="s">
        <v>279</v>
      </c>
      <c r="D342" s="5">
        <v>45856</v>
      </c>
      <c r="E342" s="4">
        <v>901907732</v>
      </c>
      <c r="F342" s="4" t="s">
        <v>16</v>
      </c>
      <c r="G342" s="4">
        <v>900825963</v>
      </c>
      <c r="H342" s="4" t="s">
        <v>138</v>
      </c>
      <c r="I342" s="6">
        <f t="shared" si="5"/>
        <v>-338919</v>
      </c>
      <c r="J342" s="6">
        <v>-23750</v>
      </c>
      <c r="K342" s="6">
        <v>0</v>
      </c>
      <c r="L342" s="6">
        <v>0</v>
      </c>
      <c r="M342" s="6">
        <v>0</v>
      </c>
      <c r="N342" s="6">
        <v>-362669</v>
      </c>
    </row>
    <row r="343" spans="1:14" x14ac:dyDescent="0.2">
      <c r="I343" s="8">
        <f>SUM(I2:I342)</f>
        <v>515846559.46000004</v>
      </c>
      <c r="J343" s="8">
        <f t="shared" ref="J343:N343" si="6">SUM(J2:J342)</f>
        <v>44511559.910000004</v>
      </c>
      <c r="K343" s="8">
        <f t="shared" si="6"/>
        <v>0</v>
      </c>
      <c r="L343" s="8">
        <f t="shared" si="6"/>
        <v>0</v>
      </c>
      <c r="M343" s="8">
        <f t="shared" si="6"/>
        <v>0</v>
      </c>
      <c r="N343" s="8">
        <f t="shared" si="6"/>
        <v>560358119.37000012</v>
      </c>
    </row>
    <row r="345" spans="1:14" x14ac:dyDescent="0.2">
      <c r="I345" s="8"/>
    </row>
  </sheetData>
  <autoFilter ref="A1:N343" xr:uid="{8677276D-D44F-414C-9A0D-C9FF9F1B7AF1}">
    <sortState xmlns:xlrd2="http://schemas.microsoft.com/office/spreadsheetml/2017/richdata2" ref="A2:N342">
      <sortCondition ref="A2:A342"/>
      <sortCondition ref="C2:C34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D0C4-6350-4211-9F3E-488B98390950}">
  <dimension ref="A1:F46"/>
  <sheetViews>
    <sheetView workbookViewId="0">
      <selection activeCell="G16" sqref="G16"/>
    </sheetView>
  </sheetViews>
  <sheetFormatPr baseColWidth="10" defaultColWidth="11.5703125" defaultRowHeight="12" x14ac:dyDescent="0.2"/>
  <cols>
    <col min="1" max="1" width="14.140625" style="7" bestFit="1" customWidth="1"/>
    <col min="2" max="2" width="35.85546875" style="7" bestFit="1" customWidth="1"/>
    <col min="3" max="3" width="13.7109375" style="9" bestFit="1" customWidth="1"/>
    <col min="4" max="4" width="19.5703125" style="9" bestFit="1" customWidth="1"/>
    <col min="5" max="5" width="9.7109375" style="9" bestFit="1" customWidth="1"/>
    <col min="6" max="6" width="9.7109375" style="7" bestFit="1" customWidth="1"/>
    <col min="7" max="16384" width="11.5703125" style="7"/>
  </cols>
  <sheetData>
    <row r="1" spans="1:6" x14ac:dyDescent="0.2">
      <c r="A1" s="10" t="s">
        <v>424</v>
      </c>
      <c r="C1" s="17" t="s">
        <v>0</v>
      </c>
    </row>
    <row r="2" spans="1:6" x14ac:dyDescent="0.2">
      <c r="A2" s="10" t="s">
        <v>6</v>
      </c>
      <c r="B2" s="10" t="s">
        <v>7</v>
      </c>
      <c r="C2" s="9" t="s">
        <v>14</v>
      </c>
      <c r="D2" s="9" t="s">
        <v>77</v>
      </c>
      <c r="E2" s="9" t="s">
        <v>423</v>
      </c>
    </row>
    <row r="3" spans="1:6" x14ac:dyDescent="0.2">
      <c r="A3" s="7">
        <v>21993269</v>
      </c>
      <c r="B3" s="7" t="s">
        <v>65</v>
      </c>
      <c r="C3" s="9">
        <v>12862964</v>
      </c>
      <c r="E3" s="9">
        <v>12862964</v>
      </c>
      <c r="F3" s="7" t="s">
        <v>1082</v>
      </c>
    </row>
    <row r="4" spans="1:6" x14ac:dyDescent="0.2">
      <c r="A4" s="7">
        <v>98532400</v>
      </c>
      <c r="B4" s="7" t="s">
        <v>389</v>
      </c>
      <c r="C4" s="9">
        <v>2483000</v>
      </c>
      <c r="E4" s="9">
        <v>2483000</v>
      </c>
      <c r="F4" s="7" t="s">
        <v>1082</v>
      </c>
    </row>
    <row r="5" spans="1:6" x14ac:dyDescent="0.2">
      <c r="A5" s="7">
        <v>117142370</v>
      </c>
      <c r="B5" s="7" t="s">
        <v>199</v>
      </c>
      <c r="C5" s="9">
        <v>500</v>
      </c>
      <c r="E5" s="9">
        <v>500</v>
      </c>
      <c r="F5" s="7" t="s">
        <v>1082</v>
      </c>
    </row>
    <row r="6" spans="1:6" x14ac:dyDescent="0.2">
      <c r="A6" s="7">
        <v>811000784</v>
      </c>
      <c r="B6" s="7" t="s">
        <v>33</v>
      </c>
      <c r="C6" s="9">
        <v>62247339.469999999</v>
      </c>
      <c r="D6" s="9">
        <v>-456000</v>
      </c>
      <c r="E6" s="9">
        <v>61791339.469999999</v>
      </c>
    </row>
    <row r="7" spans="1:6" x14ac:dyDescent="0.2">
      <c r="A7" s="7">
        <v>811017918</v>
      </c>
      <c r="B7" s="7" t="s">
        <v>19</v>
      </c>
      <c r="C7" s="9">
        <v>20771712.18</v>
      </c>
      <c r="E7" s="9">
        <v>20771712.18</v>
      </c>
    </row>
    <row r="8" spans="1:6" x14ac:dyDescent="0.2">
      <c r="A8" s="7">
        <v>811026805</v>
      </c>
      <c r="B8" s="7" t="s">
        <v>52</v>
      </c>
      <c r="C8" s="9">
        <v>5500000</v>
      </c>
      <c r="E8" s="9">
        <v>5500000</v>
      </c>
    </row>
    <row r="9" spans="1:6" x14ac:dyDescent="0.2">
      <c r="A9" s="7">
        <v>811035110</v>
      </c>
      <c r="B9" s="7" t="s">
        <v>315</v>
      </c>
      <c r="C9" s="9">
        <v>545000</v>
      </c>
      <c r="E9" s="9">
        <v>545000</v>
      </c>
    </row>
    <row r="10" spans="1:6" x14ac:dyDescent="0.2">
      <c r="A10" s="7">
        <v>811044610</v>
      </c>
      <c r="B10" s="7" t="s">
        <v>54</v>
      </c>
      <c r="C10" s="9">
        <v>26846920.170000002</v>
      </c>
      <c r="D10" s="9">
        <v>-8150000</v>
      </c>
      <c r="E10" s="9">
        <v>18696920.170000002</v>
      </c>
    </row>
    <row r="11" spans="1:6" x14ac:dyDescent="0.2">
      <c r="A11" s="7">
        <v>830087371</v>
      </c>
      <c r="B11" s="7" t="s">
        <v>162</v>
      </c>
      <c r="C11" s="9">
        <v>41933068</v>
      </c>
      <c r="D11" s="9">
        <v>-16875000</v>
      </c>
      <c r="E11" s="9">
        <v>25058068</v>
      </c>
    </row>
    <row r="12" spans="1:6" x14ac:dyDescent="0.2">
      <c r="A12" s="7">
        <v>860022343</v>
      </c>
      <c r="B12" s="7" t="s">
        <v>21</v>
      </c>
      <c r="C12" s="9">
        <v>62700750.840000004</v>
      </c>
      <c r="E12" s="9">
        <v>62700750.840000004</v>
      </c>
    </row>
    <row r="13" spans="1:6" x14ac:dyDescent="0.2">
      <c r="A13" s="7">
        <v>890910970</v>
      </c>
      <c r="B13" s="7" t="s">
        <v>25</v>
      </c>
      <c r="C13" s="9">
        <v>21211743.699999999</v>
      </c>
      <c r="D13" s="9">
        <v>-1550000</v>
      </c>
      <c r="E13" s="9">
        <v>19661743.699999999</v>
      </c>
    </row>
    <row r="14" spans="1:6" x14ac:dyDescent="0.2">
      <c r="A14" s="7">
        <v>890911898</v>
      </c>
      <c r="B14" s="7" t="s">
        <v>235</v>
      </c>
      <c r="C14" s="9">
        <v>2445000</v>
      </c>
      <c r="E14" s="9">
        <v>2445000</v>
      </c>
    </row>
    <row r="15" spans="1:6" x14ac:dyDescent="0.2">
      <c r="A15" s="7">
        <v>890931488</v>
      </c>
      <c r="B15" s="7" t="s">
        <v>95</v>
      </c>
      <c r="C15" s="9">
        <v>900000</v>
      </c>
      <c r="E15" s="9">
        <v>900000</v>
      </c>
    </row>
    <row r="16" spans="1:6" x14ac:dyDescent="0.2">
      <c r="A16" s="7">
        <v>890932241</v>
      </c>
      <c r="B16" s="7" t="s">
        <v>29</v>
      </c>
      <c r="C16" s="9">
        <v>160000</v>
      </c>
      <c r="E16" s="9">
        <v>160000</v>
      </c>
    </row>
    <row r="17" spans="1:5" x14ac:dyDescent="0.2">
      <c r="A17" s="7">
        <v>890935751</v>
      </c>
      <c r="B17" s="7" t="s">
        <v>320</v>
      </c>
      <c r="C17" s="9">
        <v>620000</v>
      </c>
      <c r="E17" s="9">
        <v>620000</v>
      </c>
    </row>
    <row r="18" spans="1:5" x14ac:dyDescent="0.2">
      <c r="A18" s="7">
        <v>900177076</v>
      </c>
      <c r="B18" s="7" t="s">
        <v>117</v>
      </c>
      <c r="C18" s="9">
        <v>1405000</v>
      </c>
      <c r="E18" s="9">
        <v>1405000</v>
      </c>
    </row>
    <row r="19" spans="1:5" x14ac:dyDescent="0.2">
      <c r="A19" s="7">
        <v>900208742</v>
      </c>
      <c r="B19" s="7" t="s">
        <v>67</v>
      </c>
      <c r="C19" s="9">
        <v>4140000</v>
      </c>
      <c r="D19" s="9">
        <v>-780000</v>
      </c>
      <c r="E19" s="9">
        <v>3360000</v>
      </c>
    </row>
    <row r="20" spans="1:5" x14ac:dyDescent="0.2">
      <c r="A20" s="7">
        <v>900383497</v>
      </c>
      <c r="B20" s="7" t="s">
        <v>60</v>
      </c>
      <c r="C20" s="9">
        <v>4752389</v>
      </c>
      <c r="D20" s="9">
        <v>-430000</v>
      </c>
      <c r="E20" s="9">
        <v>4322389</v>
      </c>
    </row>
    <row r="21" spans="1:5" x14ac:dyDescent="0.2">
      <c r="A21" s="7">
        <v>900643097</v>
      </c>
      <c r="B21" s="7" t="s">
        <v>36</v>
      </c>
      <c r="C21" s="9">
        <v>41395177.530000001</v>
      </c>
      <c r="D21" s="9">
        <v>-3110206</v>
      </c>
      <c r="E21" s="9">
        <v>38284971.530000001</v>
      </c>
    </row>
    <row r="22" spans="1:5" x14ac:dyDescent="0.2">
      <c r="A22" s="7">
        <v>900688446</v>
      </c>
      <c r="B22" s="7" t="s">
        <v>47</v>
      </c>
      <c r="C22" s="9">
        <v>25009856.18</v>
      </c>
      <c r="D22" s="9">
        <v>-2264546.2199999997</v>
      </c>
      <c r="E22" s="9">
        <v>22745309.960000001</v>
      </c>
    </row>
    <row r="23" spans="1:5" x14ac:dyDescent="0.2">
      <c r="A23" s="7">
        <v>900727888</v>
      </c>
      <c r="B23" s="7" t="s">
        <v>335</v>
      </c>
      <c r="C23" s="9">
        <v>1468240</v>
      </c>
      <c r="E23" s="9">
        <v>1468240</v>
      </c>
    </row>
    <row r="24" spans="1:5" x14ac:dyDescent="0.2">
      <c r="A24" s="7">
        <v>900742678</v>
      </c>
      <c r="B24" s="7" t="s">
        <v>80</v>
      </c>
      <c r="C24" s="9">
        <v>650000</v>
      </c>
      <c r="D24" s="9">
        <v>-650000</v>
      </c>
      <c r="E24" s="9">
        <v>0</v>
      </c>
    </row>
    <row r="25" spans="1:5" x14ac:dyDescent="0.2">
      <c r="A25" s="7">
        <v>900779955</v>
      </c>
      <c r="B25" s="7" t="s">
        <v>145</v>
      </c>
      <c r="C25" s="9">
        <v>3099000</v>
      </c>
      <c r="E25" s="9">
        <v>3099000</v>
      </c>
    </row>
    <row r="26" spans="1:5" x14ac:dyDescent="0.2">
      <c r="A26" s="7">
        <v>900825963</v>
      </c>
      <c r="B26" s="7" t="s">
        <v>138</v>
      </c>
      <c r="C26" s="9">
        <v>1576158</v>
      </c>
      <c r="D26" s="9">
        <v>-927838</v>
      </c>
      <c r="E26" s="9">
        <v>648320</v>
      </c>
    </row>
    <row r="27" spans="1:5" x14ac:dyDescent="0.2">
      <c r="A27" s="7">
        <v>900842157</v>
      </c>
      <c r="B27" s="7" t="s">
        <v>333</v>
      </c>
      <c r="C27" s="9">
        <v>2408828</v>
      </c>
      <c r="E27" s="9">
        <v>2408828</v>
      </c>
    </row>
    <row r="28" spans="1:5" x14ac:dyDescent="0.2">
      <c r="A28" s="7">
        <v>900983772</v>
      </c>
      <c r="B28" s="7" t="s">
        <v>110</v>
      </c>
      <c r="C28" s="9">
        <v>2917782</v>
      </c>
      <c r="E28" s="9">
        <v>2917782</v>
      </c>
    </row>
    <row r="29" spans="1:5" x14ac:dyDescent="0.2">
      <c r="A29" s="7">
        <v>901094323</v>
      </c>
      <c r="B29" s="7" t="s">
        <v>90</v>
      </c>
      <c r="C29" s="9">
        <v>1800000</v>
      </c>
      <c r="E29" s="9">
        <v>1800000</v>
      </c>
    </row>
    <row r="30" spans="1:5" x14ac:dyDescent="0.2">
      <c r="A30" s="7">
        <v>901105552</v>
      </c>
      <c r="B30" s="7" t="s">
        <v>69</v>
      </c>
      <c r="C30" s="9">
        <v>81107275</v>
      </c>
      <c r="E30" s="9">
        <v>81107275</v>
      </c>
    </row>
    <row r="31" spans="1:5" x14ac:dyDescent="0.2">
      <c r="A31" s="7">
        <v>901174894</v>
      </c>
      <c r="B31" s="7" t="s">
        <v>196</v>
      </c>
      <c r="C31" s="9">
        <v>1867624</v>
      </c>
      <c r="E31" s="9">
        <v>1867624</v>
      </c>
    </row>
    <row r="32" spans="1:5" x14ac:dyDescent="0.2">
      <c r="A32" s="7">
        <v>901193232</v>
      </c>
      <c r="B32" s="7" t="s">
        <v>62</v>
      </c>
      <c r="C32" s="9">
        <v>1918070</v>
      </c>
      <c r="E32" s="9">
        <v>1918070</v>
      </c>
    </row>
    <row r="33" spans="1:6" x14ac:dyDescent="0.2">
      <c r="A33" s="7">
        <v>901196517</v>
      </c>
      <c r="B33" s="7" t="s">
        <v>143</v>
      </c>
      <c r="C33" s="9">
        <v>840000</v>
      </c>
      <c r="E33" s="9">
        <v>840000</v>
      </c>
    </row>
    <row r="34" spans="1:6" x14ac:dyDescent="0.2">
      <c r="A34" s="7">
        <v>901225179</v>
      </c>
      <c r="B34" s="7" t="s">
        <v>126</v>
      </c>
      <c r="C34" s="9">
        <v>6950832</v>
      </c>
      <c r="D34" s="9">
        <v>-868854</v>
      </c>
      <c r="E34" s="9">
        <v>6081978</v>
      </c>
    </row>
    <row r="35" spans="1:6" x14ac:dyDescent="0.2">
      <c r="A35" s="7">
        <v>901344156</v>
      </c>
      <c r="B35" s="7" t="s">
        <v>23</v>
      </c>
      <c r="C35" s="9">
        <v>17007000</v>
      </c>
      <c r="D35" s="9">
        <v>-1550000</v>
      </c>
      <c r="E35" s="9">
        <v>15457000</v>
      </c>
    </row>
    <row r="36" spans="1:6" x14ac:dyDescent="0.2">
      <c r="A36" s="7">
        <v>901428649</v>
      </c>
      <c r="B36" s="7" t="s">
        <v>72</v>
      </c>
      <c r="C36" s="9">
        <v>9156404</v>
      </c>
      <c r="E36" s="9">
        <v>9156404</v>
      </c>
    </row>
    <row r="37" spans="1:6" x14ac:dyDescent="0.2">
      <c r="A37" s="7">
        <v>901446911</v>
      </c>
      <c r="B37" s="7" t="s">
        <v>76</v>
      </c>
      <c r="C37" s="9">
        <v>1161630</v>
      </c>
      <c r="E37" s="9">
        <v>1161630</v>
      </c>
    </row>
    <row r="38" spans="1:6" x14ac:dyDescent="0.2">
      <c r="A38" s="7">
        <v>901495799</v>
      </c>
      <c r="B38" s="7" t="s">
        <v>17</v>
      </c>
      <c r="C38" s="9">
        <v>71537872</v>
      </c>
      <c r="D38" s="9">
        <v>-2128439</v>
      </c>
      <c r="E38" s="9">
        <v>69409433</v>
      </c>
    </row>
    <row r="39" spans="1:6" x14ac:dyDescent="0.2">
      <c r="A39" s="7">
        <v>901586731</v>
      </c>
      <c r="B39" s="7" t="s">
        <v>300</v>
      </c>
      <c r="C39" s="9">
        <v>2690000</v>
      </c>
      <c r="E39" s="9">
        <v>2690000</v>
      </c>
    </row>
    <row r="40" spans="1:6" x14ac:dyDescent="0.2">
      <c r="A40" s="7">
        <v>901774691</v>
      </c>
      <c r="B40" s="7" t="s">
        <v>58</v>
      </c>
      <c r="C40" s="9">
        <v>4055025</v>
      </c>
      <c r="D40" s="9">
        <v>-1860339</v>
      </c>
      <c r="E40" s="9">
        <v>2194686</v>
      </c>
    </row>
    <row r="41" spans="1:6" x14ac:dyDescent="0.2">
      <c r="A41" s="7">
        <v>901799676</v>
      </c>
      <c r="B41" s="7" t="s">
        <v>246</v>
      </c>
      <c r="C41" s="9">
        <v>1804000</v>
      </c>
      <c r="E41" s="9">
        <v>1804000</v>
      </c>
    </row>
    <row r="42" spans="1:6" x14ac:dyDescent="0.2">
      <c r="A42" s="7">
        <v>901805601</v>
      </c>
      <c r="B42" s="7" t="s">
        <v>38</v>
      </c>
      <c r="C42" s="9">
        <v>1880000</v>
      </c>
      <c r="E42" s="9">
        <v>1880000</v>
      </c>
    </row>
    <row r="43" spans="1:6" x14ac:dyDescent="0.2">
      <c r="A43" s="7">
        <v>901884325</v>
      </c>
      <c r="B43" s="7" t="s">
        <v>289</v>
      </c>
      <c r="C43" s="9">
        <v>2056683</v>
      </c>
      <c r="D43" s="9">
        <v>-476575.00000000006</v>
      </c>
      <c r="E43" s="9">
        <v>1580108</v>
      </c>
    </row>
    <row r="44" spans="1:6" x14ac:dyDescent="0.2">
      <c r="A44" s="7">
        <v>901897598</v>
      </c>
      <c r="B44" s="7" t="s">
        <v>31</v>
      </c>
      <c r="C44" s="9">
        <v>1360000</v>
      </c>
      <c r="E44" s="9">
        <v>1360000</v>
      </c>
    </row>
    <row r="45" spans="1:6" x14ac:dyDescent="0.2">
      <c r="A45" s="7">
        <v>901931446</v>
      </c>
      <c r="B45" s="7" t="s">
        <v>322</v>
      </c>
      <c r="C45" s="9">
        <v>681512.61</v>
      </c>
      <c r="E45" s="9">
        <v>681512.61</v>
      </c>
    </row>
    <row r="46" spans="1:6" x14ac:dyDescent="0.2">
      <c r="A46" s="7" t="s">
        <v>423</v>
      </c>
      <c r="C46" s="9">
        <v>557924356.67999995</v>
      </c>
      <c r="D46" s="9">
        <v>-42077797.219999999</v>
      </c>
      <c r="E46" s="9">
        <v>515846559.45999998</v>
      </c>
      <c r="F46" s="7" t="s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E52C-3AE1-4A5A-A470-EC87DF2E3F0A}">
  <dimension ref="A1:Q555"/>
  <sheetViews>
    <sheetView workbookViewId="0">
      <selection activeCell="I555" sqref="I2:I555"/>
    </sheetView>
  </sheetViews>
  <sheetFormatPr baseColWidth="10" defaultColWidth="11.5703125" defaultRowHeight="12" x14ac:dyDescent="0.2"/>
  <cols>
    <col min="1" max="1" width="30.140625" style="7" bestFit="1" customWidth="1"/>
    <col min="2" max="2" width="79.28515625" style="7" hidden="1" customWidth="1"/>
    <col min="3" max="3" width="14.28515625" style="7" bestFit="1" customWidth="1"/>
    <col min="4" max="4" width="10.5703125" style="7" bestFit="1" customWidth="1"/>
    <col min="5" max="5" width="8.5703125" style="7" bestFit="1" customWidth="1"/>
    <col min="6" max="6" width="53.7109375" style="7" customWidth="1"/>
    <col min="7" max="7" width="9.7109375" style="7" bestFit="1" customWidth="1"/>
    <col min="8" max="8" width="23.28515625" style="7" bestFit="1" customWidth="1"/>
    <col min="9" max="9" width="11" style="7" bestFit="1" customWidth="1"/>
    <col min="10" max="10" width="7.140625" style="7" bestFit="1" customWidth="1"/>
    <col min="11" max="11" width="4.28515625" style="7" bestFit="1" customWidth="1"/>
    <col min="12" max="12" width="5.140625" style="7" bestFit="1" customWidth="1"/>
    <col min="13" max="14" width="7.85546875" style="7" bestFit="1" customWidth="1"/>
    <col min="15" max="15" width="11.5703125" style="16"/>
    <col min="16" max="16384" width="11.5703125" style="7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s="4" t="s">
        <v>14</v>
      </c>
      <c r="B2" s="4" t="s">
        <v>426</v>
      </c>
      <c r="C2" s="4">
        <v>595069</v>
      </c>
      <c r="D2" s="5">
        <v>46021</v>
      </c>
      <c r="E2" s="4">
        <v>800091549</v>
      </c>
      <c r="F2" s="4" t="s">
        <v>408</v>
      </c>
      <c r="G2" s="4">
        <v>901907732</v>
      </c>
      <c r="H2" s="4" t="s">
        <v>427</v>
      </c>
      <c r="I2" s="6">
        <v>289879</v>
      </c>
      <c r="J2" s="6">
        <v>55077</v>
      </c>
      <c r="K2" s="6">
        <v>0</v>
      </c>
      <c r="L2" s="6">
        <v>0</v>
      </c>
      <c r="M2" s="6">
        <v>0</v>
      </c>
      <c r="N2" s="6">
        <v>344956</v>
      </c>
    </row>
    <row r="3" spans="1:14" x14ac:dyDescent="0.2">
      <c r="A3" s="4" t="s">
        <v>14</v>
      </c>
      <c r="B3" s="4" t="s">
        <v>428</v>
      </c>
      <c r="C3" s="4">
        <v>954</v>
      </c>
      <c r="D3" s="5">
        <v>46021</v>
      </c>
      <c r="E3" s="4">
        <v>901649254</v>
      </c>
      <c r="F3" s="4" t="s">
        <v>429</v>
      </c>
      <c r="G3" s="4">
        <v>901907732</v>
      </c>
      <c r="H3" s="4" t="s">
        <v>427</v>
      </c>
      <c r="I3" s="6">
        <v>16114195.999999998</v>
      </c>
      <c r="J3" s="6">
        <v>3061697.24</v>
      </c>
      <c r="K3" s="6">
        <v>0</v>
      </c>
      <c r="L3" s="6">
        <v>0</v>
      </c>
      <c r="M3" s="6">
        <v>0</v>
      </c>
      <c r="N3" s="6">
        <v>19175893.239999998</v>
      </c>
    </row>
    <row r="4" spans="1:14" x14ac:dyDescent="0.2">
      <c r="A4" s="4" t="s">
        <v>14</v>
      </c>
      <c r="B4" s="4" t="s">
        <v>430</v>
      </c>
      <c r="C4" s="4">
        <v>83</v>
      </c>
      <c r="D4" s="5">
        <v>46021</v>
      </c>
      <c r="E4" s="4">
        <v>1003880015</v>
      </c>
      <c r="F4" s="4" t="s">
        <v>431</v>
      </c>
      <c r="G4" s="4">
        <v>901907732</v>
      </c>
      <c r="H4" s="4" t="s">
        <v>16</v>
      </c>
      <c r="I4" s="6">
        <v>80000</v>
      </c>
      <c r="J4" s="6">
        <v>0</v>
      </c>
      <c r="K4" s="6">
        <v>0</v>
      </c>
      <c r="L4" s="6">
        <v>0</v>
      </c>
      <c r="M4" s="6">
        <v>0</v>
      </c>
      <c r="N4" s="6">
        <v>80000</v>
      </c>
    </row>
    <row r="5" spans="1:14" x14ac:dyDescent="0.2">
      <c r="A5" s="4" t="s">
        <v>14</v>
      </c>
      <c r="B5" s="4" t="s">
        <v>432</v>
      </c>
      <c r="C5" s="4">
        <v>2961</v>
      </c>
      <c r="D5" s="5">
        <v>46020</v>
      </c>
      <c r="E5" s="4">
        <v>70561688</v>
      </c>
      <c r="F5" s="4" t="s">
        <v>433</v>
      </c>
      <c r="G5" s="4">
        <v>901907732</v>
      </c>
      <c r="H5" s="4" t="s">
        <v>16</v>
      </c>
      <c r="I5" s="6">
        <v>16000</v>
      </c>
      <c r="J5" s="6">
        <v>3040</v>
      </c>
      <c r="K5" s="6">
        <v>0</v>
      </c>
      <c r="L5" s="6">
        <v>0</v>
      </c>
      <c r="M5" s="6">
        <v>0</v>
      </c>
      <c r="N5" s="6">
        <v>19040</v>
      </c>
    </row>
    <row r="6" spans="1:14" x14ac:dyDescent="0.2">
      <c r="A6" s="4" t="s">
        <v>14</v>
      </c>
      <c r="B6" s="4" t="s">
        <v>434</v>
      </c>
      <c r="C6" s="4">
        <v>79837</v>
      </c>
      <c r="D6" s="5">
        <v>46020</v>
      </c>
      <c r="E6" s="4">
        <v>900848266</v>
      </c>
      <c r="F6" s="4" t="s">
        <v>435</v>
      </c>
      <c r="G6" s="4">
        <v>901907732</v>
      </c>
      <c r="H6" s="4" t="s">
        <v>16</v>
      </c>
      <c r="I6" s="6">
        <v>20000</v>
      </c>
      <c r="J6" s="6">
        <v>3800</v>
      </c>
      <c r="K6" s="6">
        <v>0</v>
      </c>
      <c r="L6" s="6">
        <v>0</v>
      </c>
      <c r="M6" s="6">
        <v>0</v>
      </c>
      <c r="N6" s="6">
        <v>23800</v>
      </c>
    </row>
    <row r="7" spans="1:14" x14ac:dyDescent="0.2">
      <c r="A7" s="4" t="s">
        <v>14</v>
      </c>
      <c r="B7" s="4" t="s">
        <v>436</v>
      </c>
      <c r="C7" s="4">
        <v>4256</v>
      </c>
      <c r="D7" s="5">
        <v>46020</v>
      </c>
      <c r="E7" s="4">
        <v>3486666</v>
      </c>
      <c r="F7" s="4" t="s">
        <v>437</v>
      </c>
      <c r="G7" s="4">
        <v>901907732</v>
      </c>
      <c r="H7" s="4" t="s">
        <v>16</v>
      </c>
      <c r="I7" s="6">
        <v>20000</v>
      </c>
      <c r="J7" s="6">
        <v>0</v>
      </c>
      <c r="K7" s="6">
        <v>0</v>
      </c>
      <c r="L7" s="6">
        <v>0</v>
      </c>
      <c r="M7" s="6">
        <v>0</v>
      </c>
      <c r="N7" s="6">
        <v>20000</v>
      </c>
    </row>
    <row r="8" spans="1:14" x14ac:dyDescent="0.2">
      <c r="A8" s="4" t="s">
        <v>14</v>
      </c>
      <c r="B8" s="4" t="s">
        <v>438</v>
      </c>
      <c r="C8" s="4">
        <v>729528</v>
      </c>
      <c r="D8" s="5">
        <v>46015</v>
      </c>
      <c r="E8" s="4">
        <v>900219834</v>
      </c>
      <c r="F8" s="4" t="s">
        <v>439</v>
      </c>
      <c r="G8" s="4">
        <v>901907732</v>
      </c>
      <c r="H8" s="4" t="s">
        <v>440</v>
      </c>
      <c r="I8" s="6">
        <v>3781.51</v>
      </c>
      <c r="J8" s="6">
        <v>718.49</v>
      </c>
      <c r="K8" s="6">
        <v>0</v>
      </c>
      <c r="L8" s="6">
        <v>0</v>
      </c>
      <c r="M8" s="6">
        <v>0</v>
      </c>
      <c r="N8" s="6">
        <v>4500</v>
      </c>
    </row>
    <row r="9" spans="1:14" x14ac:dyDescent="0.2">
      <c r="A9" s="4" t="s">
        <v>14</v>
      </c>
      <c r="B9" s="4" t="s">
        <v>441</v>
      </c>
      <c r="C9" s="4">
        <v>720444</v>
      </c>
      <c r="D9" s="5">
        <v>46014</v>
      </c>
      <c r="E9" s="4">
        <v>900219834</v>
      </c>
      <c r="F9" s="4" t="s">
        <v>439</v>
      </c>
      <c r="G9" s="4">
        <v>901907732</v>
      </c>
      <c r="H9" s="4" t="s">
        <v>440</v>
      </c>
      <c r="I9" s="6">
        <v>3781.51</v>
      </c>
      <c r="J9" s="6">
        <v>718.49</v>
      </c>
      <c r="K9" s="6">
        <v>0</v>
      </c>
      <c r="L9" s="6">
        <v>0</v>
      </c>
      <c r="M9" s="6">
        <v>0</v>
      </c>
      <c r="N9" s="6">
        <v>4500</v>
      </c>
    </row>
    <row r="10" spans="1:14" x14ac:dyDescent="0.2">
      <c r="A10" s="4" t="s">
        <v>442</v>
      </c>
      <c r="B10" s="4" t="s">
        <v>443</v>
      </c>
      <c r="C10" s="4">
        <v>75584379</v>
      </c>
      <c r="D10" s="5">
        <v>46014</v>
      </c>
      <c r="E10" s="4">
        <v>900219834</v>
      </c>
      <c r="F10" s="4" t="s">
        <v>439</v>
      </c>
      <c r="G10" s="4">
        <v>901907732</v>
      </c>
      <c r="H10" s="4" t="s">
        <v>444</v>
      </c>
      <c r="I10" s="6">
        <v>25000</v>
      </c>
      <c r="J10" s="6">
        <v>0</v>
      </c>
      <c r="K10" s="6">
        <v>0</v>
      </c>
      <c r="L10" s="6">
        <v>0</v>
      </c>
      <c r="M10" s="6">
        <v>0</v>
      </c>
      <c r="N10" s="6">
        <v>25000</v>
      </c>
    </row>
    <row r="11" spans="1:14" x14ac:dyDescent="0.2">
      <c r="A11" s="4" t="s">
        <v>442</v>
      </c>
      <c r="B11" s="4" t="s">
        <v>445</v>
      </c>
      <c r="C11" s="4">
        <v>75544794</v>
      </c>
      <c r="D11" s="5">
        <v>46014</v>
      </c>
      <c r="E11" s="4">
        <v>900219834</v>
      </c>
      <c r="F11" s="4" t="s">
        <v>439</v>
      </c>
      <c r="G11" s="4">
        <v>901907732</v>
      </c>
      <c r="H11" s="4" t="s">
        <v>444</v>
      </c>
      <c r="I11" s="6">
        <v>25000</v>
      </c>
      <c r="J11" s="6">
        <v>0</v>
      </c>
      <c r="K11" s="6">
        <v>0</v>
      </c>
      <c r="L11" s="6">
        <v>0</v>
      </c>
      <c r="M11" s="6">
        <v>0</v>
      </c>
      <c r="N11" s="6">
        <v>25000</v>
      </c>
    </row>
    <row r="12" spans="1:14" x14ac:dyDescent="0.2">
      <c r="A12" s="4" t="s">
        <v>14</v>
      </c>
      <c r="B12" s="4" t="s">
        <v>446</v>
      </c>
      <c r="C12" s="4">
        <v>907</v>
      </c>
      <c r="D12" s="5">
        <v>46014</v>
      </c>
      <c r="E12" s="4">
        <v>901649254</v>
      </c>
      <c r="F12" s="4" t="s">
        <v>429</v>
      </c>
      <c r="G12" s="4">
        <v>901907732</v>
      </c>
      <c r="H12" s="4" t="s">
        <v>427</v>
      </c>
      <c r="I12" s="6">
        <v>2338676.4500000002</v>
      </c>
      <c r="J12" s="6">
        <v>444348.53</v>
      </c>
      <c r="K12" s="6">
        <v>0</v>
      </c>
      <c r="L12" s="6">
        <v>0</v>
      </c>
      <c r="M12" s="6">
        <v>0</v>
      </c>
      <c r="N12" s="6">
        <v>2783024.98</v>
      </c>
    </row>
    <row r="13" spans="1:14" x14ac:dyDescent="0.2">
      <c r="A13" s="4" t="s">
        <v>14</v>
      </c>
      <c r="B13" s="4" t="s">
        <v>447</v>
      </c>
      <c r="C13" s="4">
        <v>703430</v>
      </c>
      <c r="D13" s="5">
        <v>46014</v>
      </c>
      <c r="E13" s="4">
        <v>900219834</v>
      </c>
      <c r="F13" s="4" t="s">
        <v>439</v>
      </c>
      <c r="G13" s="4">
        <v>901907732</v>
      </c>
      <c r="H13" s="4" t="s">
        <v>440</v>
      </c>
      <c r="I13" s="6">
        <v>3361.35</v>
      </c>
      <c r="J13" s="6">
        <v>638.65</v>
      </c>
      <c r="K13" s="6">
        <v>0</v>
      </c>
      <c r="L13" s="6">
        <v>0</v>
      </c>
      <c r="M13" s="6">
        <v>0</v>
      </c>
      <c r="N13" s="6">
        <v>4000</v>
      </c>
    </row>
    <row r="14" spans="1:14" x14ac:dyDescent="0.2">
      <c r="A14" s="4" t="s">
        <v>14</v>
      </c>
      <c r="B14" s="4" t="s">
        <v>448</v>
      </c>
      <c r="C14" s="4">
        <v>81020</v>
      </c>
      <c r="D14" s="5">
        <v>46013</v>
      </c>
      <c r="E14" s="4">
        <v>830085336</v>
      </c>
      <c r="F14" s="4" t="s">
        <v>449</v>
      </c>
      <c r="G14" s="4">
        <v>901907732</v>
      </c>
      <c r="H14" s="4" t="s">
        <v>450</v>
      </c>
      <c r="I14" s="6">
        <v>92436.98</v>
      </c>
      <c r="J14" s="6">
        <v>17563.03</v>
      </c>
      <c r="K14" s="6">
        <v>0</v>
      </c>
      <c r="L14" s="6">
        <v>0</v>
      </c>
      <c r="M14" s="6">
        <v>0</v>
      </c>
      <c r="N14" s="6">
        <v>110000.01</v>
      </c>
    </row>
    <row r="15" spans="1:14" x14ac:dyDescent="0.2">
      <c r="A15" s="4" t="s">
        <v>14</v>
      </c>
      <c r="B15" s="4" t="s">
        <v>451</v>
      </c>
      <c r="C15" s="4">
        <v>691465</v>
      </c>
      <c r="D15" s="5">
        <v>46013</v>
      </c>
      <c r="E15" s="4">
        <v>900219834</v>
      </c>
      <c r="F15" s="4" t="s">
        <v>439</v>
      </c>
      <c r="G15" s="4">
        <v>901907732</v>
      </c>
      <c r="H15" s="4" t="s">
        <v>440</v>
      </c>
      <c r="I15" s="6">
        <v>3361.35</v>
      </c>
      <c r="J15" s="6">
        <v>638.65</v>
      </c>
      <c r="K15" s="6">
        <v>0</v>
      </c>
      <c r="L15" s="6">
        <v>0</v>
      </c>
      <c r="M15" s="6">
        <v>0</v>
      </c>
      <c r="N15" s="6">
        <v>4000</v>
      </c>
    </row>
    <row r="16" spans="1:14" x14ac:dyDescent="0.2">
      <c r="A16" s="4" t="s">
        <v>14</v>
      </c>
      <c r="B16" s="4" t="s">
        <v>452</v>
      </c>
      <c r="C16" s="4">
        <v>897</v>
      </c>
      <c r="D16" s="5">
        <v>46013</v>
      </c>
      <c r="E16" s="4">
        <v>901649254</v>
      </c>
      <c r="F16" s="4" t="s">
        <v>429</v>
      </c>
      <c r="G16" s="4">
        <v>901907732</v>
      </c>
      <c r="H16" s="4" t="s">
        <v>427</v>
      </c>
      <c r="I16" s="6">
        <v>3743697.42</v>
      </c>
      <c r="J16" s="6">
        <v>711302.51</v>
      </c>
      <c r="K16" s="6">
        <v>0</v>
      </c>
      <c r="L16" s="6">
        <v>0</v>
      </c>
      <c r="M16" s="6">
        <v>0</v>
      </c>
      <c r="N16" s="6">
        <v>4454999.93</v>
      </c>
    </row>
    <row r="17" spans="1:15" x14ac:dyDescent="0.2">
      <c r="A17" s="4" t="s">
        <v>14</v>
      </c>
      <c r="B17" s="4" t="s">
        <v>453</v>
      </c>
      <c r="C17" s="4">
        <v>95</v>
      </c>
      <c r="D17" s="5">
        <v>46013</v>
      </c>
      <c r="E17" s="4">
        <v>901939945</v>
      </c>
      <c r="F17" s="4" t="s">
        <v>454</v>
      </c>
      <c r="G17" s="4">
        <v>901907732</v>
      </c>
      <c r="H17" s="4" t="s">
        <v>16</v>
      </c>
      <c r="I17" s="6">
        <v>197075.65</v>
      </c>
      <c r="J17" s="6">
        <v>35924.370000000003</v>
      </c>
      <c r="K17" s="6">
        <v>0</v>
      </c>
      <c r="L17" s="6">
        <v>0</v>
      </c>
      <c r="M17" s="6">
        <v>0</v>
      </c>
      <c r="N17" s="6">
        <v>233000.02</v>
      </c>
    </row>
    <row r="18" spans="1:15" x14ac:dyDescent="0.2">
      <c r="A18" s="4" t="s">
        <v>14</v>
      </c>
      <c r="B18" s="4" t="s">
        <v>455</v>
      </c>
      <c r="C18" s="4">
        <v>153607</v>
      </c>
      <c r="D18" s="5">
        <v>46013</v>
      </c>
      <c r="E18" s="4">
        <v>811000784</v>
      </c>
      <c r="F18" s="4" t="s">
        <v>456</v>
      </c>
      <c r="G18" s="4">
        <v>901907732</v>
      </c>
      <c r="H18" s="4" t="s">
        <v>457</v>
      </c>
      <c r="I18" s="6">
        <v>96638.66</v>
      </c>
      <c r="J18" s="6">
        <v>18361.34</v>
      </c>
      <c r="K18" s="6">
        <v>0</v>
      </c>
      <c r="L18" s="6">
        <v>0</v>
      </c>
      <c r="M18" s="6">
        <v>0</v>
      </c>
      <c r="N18" s="6">
        <v>115000</v>
      </c>
    </row>
    <row r="19" spans="1:15" x14ac:dyDescent="0.2">
      <c r="A19" s="4" t="s">
        <v>14</v>
      </c>
      <c r="B19" s="4" t="s">
        <v>458</v>
      </c>
      <c r="C19" s="4">
        <v>165317848</v>
      </c>
      <c r="D19" s="5">
        <v>46013</v>
      </c>
      <c r="E19" s="4">
        <v>830114921</v>
      </c>
      <c r="F19" s="4" t="s">
        <v>459</v>
      </c>
      <c r="G19" s="4">
        <v>901907732</v>
      </c>
      <c r="H19" s="4" t="s">
        <v>460</v>
      </c>
      <c r="I19" s="6">
        <v>97975.78</v>
      </c>
      <c r="J19" s="6">
        <v>18615.39</v>
      </c>
      <c r="K19" s="6">
        <v>0</v>
      </c>
      <c r="L19" s="6">
        <v>1848.83</v>
      </c>
      <c r="M19" s="6">
        <v>0</v>
      </c>
      <c r="N19" s="6">
        <v>118440</v>
      </c>
    </row>
    <row r="20" spans="1:15" x14ac:dyDescent="0.2">
      <c r="A20" s="4" t="s">
        <v>14</v>
      </c>
      <c r="B20" s="4" t="s">
        <v>461</v>
      </c>
      <c r="C20" s="4">
        <v>165155662</v>
      </c>
      <c r="D20" s="5">
        <v>46012</v>
      </c>
      <c r="E20" s="4">
        <v>830114921</v>
      </c>
      <c r="F20" s="4" t="s">
        <v>459</v>
      </c>
      <c r="G20" s="4">
        <v>901907732</v>
      </c>
      <c r="H20" s="4" t="s">
        <v>462</v>
      </c>
      <c r="I20" s="6">
        <v>10.98</v>
      </c>
      <c r="J20" s="6">
        <v>2.02</v>
      </c>
      <c r="K20" s="6">
        <v>0</v>
      </c>
      <c r="L20" s="6">
        <v>0</v>
      </c>
      <c r="M20" s="6">
        <v>0</v>
      </c>
      <c r="N20" s="6">
        <v>13</v>
      </c>
    </row>
    <row r="21" spans="1:15" x14ac:dyDescent="0.2">
      <c r="A21" s="4" t="s">
        <v>14</v>
      </c>
      <c r="B21" s="4" t="s">
        <v>463</v>
      </c>
      <c r="C21" s="4">
        <v>165155530</v>
      </c>
      <c r="D21" s="5">
        <v>46012</v>
      </c>
      <c r="E21" s="4">
        <v>830114921</v>
      </c>
      <c r="F21" s="4" t="s">
        <v>459</v>
      </c>
      <c r="G21" s="4">
        <v>901907732</v>
      </c>
      <c r="H21" s="4" t="s">
        <v>464</v>
      </c>
      <c r="I21" s="6">
        <v>68581.100000000006</v>
      </c>
      <c r="J21" s="6">
        <v>13030.36</v>
      </c>
      <c r="K21" s="6">
        <v>0</v>
      </c>
      <c r="L21" s="6">
        <v>1188.54</v>
      </c>
      <c r="M21" s="6">
        <v>0</v>
      </c>
      <c r="N21" s="6">
        <v>82800</v>
      </c>
    </row>
    <row r="22" spans="1:15" x14ac:dyDescent="0.2">
      <c r="A22" s="4" t="s">
        <v>14</v>
      </c>
      <c r="B22" s="4" t="s">
        <v>465</v>
      </c>
      <c r="C22" s="4">
        <v>891</v>
      </c>
      <c r="D22" s="5">
        <v>46011</v>
      </c>
      <c r="E22" s="4">
        <v>901649254</v>
      </c>
      <c r="F22" s="4" t="s">
        <v>429</v>
      </c>
      <c r="G22" s="4">
        <v>901907732</v>
      </c>
      <c r="H22" s="4" t="s">
        <v>427</v>
      </c>
      <c r="I22" s="6">
        <v>3195376.2</v>
      </c>
      <c r="J22" s="6">
        <v>607121.48</v>
      </c>
      <c r="K22" s="6">
        <v>0</v>
      </c>
      <c r="L22" s="6">
        <v>0</v>
      </c>
      <c r="M22" s="6">
        <v>0</v>
      </c>
      <c r="N22" s="6">
        <v>3802497.68</v>
      </c>
    </row>
    <row r="23" spans="1:15" x14ac:dyDescent="0.2">
      <c r="A23" s="4" t="s">
        <v>14</v>
      </c>
      <c r="B23" s="4" t="s">
        <v>466</v>
      </c>
      <c r="C23" s="4">
        <v>8054</v>
      </c>
      <c r="D23" s="5">
        <v>46010</v>
      </c>
      <c r="E23" s="4">
        <v>901519900</v>
      </c>
      <c r="F23" s="4" t="s">
        <v>467</v>
      </c>
      <c r="G23" s="4">
        <v>901907732</v>
      </c>
      <c r="H23" s="4" t="s">
        <v>16</v>
      </c>
      <c r="I23" s="6">
        <v>131092.44</v>
      </c>
      <c r="J23" s="6">
        <v>24907.56</v>
      </c>
      <c r="K23" s="6">
        <v>0</v>
      </c>
      <c r="L23" s="6">
        <v>0</v>
      </c>
      <c r="M23" s="6">
        <v>0</v>
      </c>
      <c r="N23" s="6">
        <v>156000</v>
      </c>
    </row>
    <row r="24" spans="1:15" x14ac:dyDescent="0.2">
      <c r="A24" s="4" t="s">
        <v>14</v>
      </c>
      <c r="B24" s="4" t="s">
        <v>468</v>
      </c>
      <c r="C24" s="4">
        <v>883</v>
      </c>
      <c r="D24" s="5">
        <v>46010</v>
      </c>
      <c r="E24" s="4">
        <v>901649254</v>
      </c>
      <c r="F24" s="4" t="s">
        <v>429</v>
      </c>
      <c r="G24" s="4">
        <v>901907732</v>
      </c>
      <c r="H24" s="4" t="s">
        <v>427</v>
      </c>
      <c r="I24" s="6">
        <v>1860083.58</v>
      </c>
      <c r="J24" s="6">
        <v>353415.88</v>
      </c>
      <c r="K24" s="6">
        <v>0</v>
      </c>
      <c r="L24" s="6">
        <v>0</v>
      </c>
      <c r="M24" s="6">
        <v>0</v>
      </c>
      <c r="N24" s="6">
        <v>2213499.46</v>
      </c>
    </row>
    <row r="25" spans="1:15" x14ac:dyDescent="0.2">
      <c r="A25" s="4" t="s">
        <v>14</v>
      </c>
      <c r="B25" s="4" t="s">
        <v>469</v>
      </c>
      <c r="C25" s="4">
        <v>13206</v>
      </c>
      <c r="D25" s="5">
        <v>46010</v>
      </c>
      <c r="E25" s="4">
        <v>700108357</v>
      </c>
      <c r="F25" s="4" t="s">
        <v>470</v>
      </c>
      <c r="G25" s="4">
        <v>901907732</v>
      </c>
      <c r="H25" s="4" t="s">
        <v>471</v>
      </c>
      <c r="I25" s="6">
        <v>235500</v>
      </c>
      <c r="J25" s="6">
        <v>0</v>
      </c>
      <c r="K25" s="6">
        <v>0</v>
      </c>
      <c r="L25" s="6">
        <v>0</v>
      </c>
      <c r="M25" s="6">
        <v>0</v>
      </c>
      <c r="N25" s="6">
        <v>235500</v>
      </c>
      <c r="O25" s="16">
        <f>+I25*3.5%</f>
        <v>8242.5</v>
      </c>
    </row>
    <row r="26" spans="1:15" x14ac:dyDescent="0.2">
      <c r="A26" s="4" t="s">
        <v>14</v>
      </c>
      <c r="B26" s="4" t="s">
        <v>472</v>
      </c>
      <c r="C26" s="4">
        <v>17846</v>
      </c>
      <c r="D26" s="5">
        <v>46010</v>
      </c>
      <c r="E26" s="4">
        <v>901476410</v>
      </c>
      <c r="F26" s="4" t="s">
        <v>473</v>
      </c>
      <c r="G26" s="4">
        <v>901907732</v>
      </c>
      <c r="H26" s="4" t="s">
        <v>16</v>
      </c>
      <c r="I26" s="6">
        <v>24706</v>
      </c>
      <c r="J26" s="6">
        <v>4694</v>
      </c>
      <c r="K26" s="6">
        <v>0</v>
      </c>
      <c r="L26" s="6">
        <v>0</v>
      </c>
      <c r="M26" s="6">
        <v>0</v>
      </c>
      <c r="N26" s="6">
        <v>29400</v>
      </c>
      <c r="O26" s="16">
        <f>+I26*2.5%</f>
        <v>617.65000000000009</v>
      </c>
    </row>
    <row r="27" spans="1:15" x14ac:dyDescent="0.2">
      <c r="A27" s="4" t="s">
        <v>14</v>
      </c>
      <c r="B27" s="4" t="s">
        <v>474</v>
      </c>
      <c r="C27" s="4">
        <v>874</v>
      </c>
      <c r="D27" s="5">
        <v>46009</v>
      </c>
      <c r="E27" s="4">
        <v>901649254</v>
      </c>
      <c r="F27" s="4" t="s">
        <v>429</v>
      </c>
      <c r="G27" s="4">
        <v>901907732</v>
      </c>
      <c r="H27" s="4" t="s">
        <v>427</v>
      </c>
      <c r="I27" s="6">
        <v>3632352.8499999996</v>
      </c>
      <c r="J27" s="6">
        <v>690147.04</v>
      </c>
      <c r="K27" s="6">
        <v>0</v>
      </c>
      <c r="L27" s="6">
        <v>0</v>
      </c>
      <c r="M27" s="6">
        <v>0</v>
      </c>
      <c r="N27" s="6">
        <v>4322499.8899999997</v>
      </c>
    </row>
    <row r="28" spans="1:15" x14ac:dyDescent="0.2">
      <c r="A28" s="4" t="s">
        <v>14</v>
      </c>
      <c r="B28" s="4" t="s">
        <v>475</v>
      </c>
      <c r="C28" s="4">
        <v>33384</v>
      </c>
      <c r="D28" s="5">
        <v>46008</v>
      </c>
      <c r="E28" s="4">
        <v>901161479</v>
      </c>
      <c r="F28" s="4" t="s">
        <v>476</v>
      </c>
      <c r="G28" s="4">
        <v>901907732</v>
      </c>
      <c r="H28" s="4" t="s">
        <v>16</v>
      </c>
      <c r="I28" s="6">
        <v>2037560</v>
      </c>
      <c r="J28" s="6">
        <v>387136.4</v>
      </c>
      <c r="K28" s="6">
        <v>0</v>
      </c>
      <c r="L28" s="6">
        <v>0</v>
      </c>
      <c r="M28" s="6">
        <v>0</v>
      </c>
      <c r="N28" s="6">
        <v>2424696.4</v>
      </c>
    </row>
    <row r="29" spans="1:15" x14ac:dyDescent="0.2">
      <c r="A29" s="4" t="s">
        <v>14</v>
      </c>
      <c r="B29" s="4" t="s">
        <v>477</v>
      </c>
      <c r="C29" s="4">
        <v>592685</v>
      </c>
      <c r="D29" s="5">
        <v>46008</v>
      </c>
      <c r="E29" s="4">
        <v>800091549</v>
      </c>
      <c r="F29" s="4" t="s">
        <v>408</v>
      </c>
      <c r="G29" s="4">
        <v>901907732</v>
      </c>
      <c r="H29" s="4" t="s">
        <v>427</v>
      </c>
      <c r="I29" s="6">
        <v>1612896</v>
      </c>
      <c r="J29" s="6">
        <v>0</v>
      </c>
      <c r="K29" s="6">
        <v>0</v>
      </c>
      <c r="L29" s="6">
        <v>0</v>
      </c>
      <c r="M29" s="6">
        <v>0</v>
      </c>
      <c r="N29" s="6">
        <v>1612896</v>
      </c>
    </row>
    <row r="30" spans="1:15" x14ac:dyDescent="0.2">
      <c r="A30" s="4" t="s">
        <v>14</v>
      </c>
      <c r="B30" s="4" t="s">
        <v>478</v>
      </c>
      <c r="C30" s="4">
        <v>592620</v>
      </c>
      <c r="D30" s="5">
        <v>46008</v>
      </c>
      <c r="E30" s="4">
        <v>800091549</v>
      </c>
      <c r="F30" s="4" t="s">
        <v>408</v>
      </c>
      <c r="G30" s="4">
        <v>901907732</v>
      </c>
      <c r="H30" s="4" t="s">
        <v>427</v>
      </c>
      <c r="I30" s="6">
        <v>311728</v>
      </c>
      <c r="J30" s="6">
        <v>0</v>
      </c>
      <c r="K30" s="6">
        <v>0</v>
      </c>
      <c r="L30" s="6">
        <v>0</v>
      </c>
      <c r="M30" s="6">
        <v>0</v>
      </c>
      <c r="N30" s="6">
        <v>311728</v>
      </c>
    </row>
    <row r="31" spans="1:15" x14ac:dyDescent="0.2">
      <c r="A31" s="4" t="s">
        <v>14</v>
      </c>
      <c r="B31" s="4" t="s">
        <v>479</v>
      </c>
      <c r="C31" s="4">
        <v>592619</v>
      </c>
      <c r="D31" s="5">
        <v>46008</v>
      </c>
      <c r="E31" s="4">
        <v>800091549</v>
      </c>
      <c r="F31" s="4" t="s">
        <v>408</v>
      </c>
      <c r="G31" s="4">
        <v>901907732</v>
      </c>
      <c r="H31" s="4" t="s">
        <v>427</v>
      </c>
      <c r="I31" s="6">
        <v>468383</v>
      </c>
      <c r="J31" s="6">
        <v>0</v>
      </c>
      <c r="K31" s="6">
        <v>0</v>
      </c>
      <c r="L31" s="6">
        <v>0</v>
      </c>
      <c r="M31" s="6">
        <v>0</v>
      </c>
      <c r="N31" s="6">
        <v>468383</v>
      </c>
    </row>
    <row r="32" spans="1:15" x14ac:dyDescent="0.2">
      <c r="A32" s="4" t="s">
        <v>14</v>
      </c>
      <c r="B32" s="4" t="s">
        <v>480</v>
      </c>
      <c r="C32" s="4">
        <v>592618</v>
      </c>
      <c r="D32" s="5">
        <v>46008</v>
      </c>
      <c r="E32" s="4">
        <v>800091549</v>
      </c>
      <c r="F32" s="4" t="s">
        <v>408</v>
      </c>
      <c r="G32" s="4">
        <v>901907732</v>
      </c>
      <c r="H32" s="4" t="s">
        <v>427</v>
      </c>
      <c r="I32" s="6">
        <v>548978</v>
      </c>
      <c r="J32" s="6">
        <v>0</v>
      </c>
      <c r="K32" s="6">
        <v>0</v>
      </c>
      <c r="L32" s="6">
        <v>0</v>
      </c>
      <c r="M32" s="6">
        <v>0</v>
      </c>
      <c r="N32" s="6">
        <v>548978</v>
      </c>
    </row>
    <row r="33" spans="1:14" x14ac:dyDescent="0.2">
      <c r="A33" s="4" t="s">
        <v>14</v>
      </c>
      <c r="B33" s="4" t="s">
        <v>481</v>
      </c>
      <c r="C33" s="4">
        <v>592616</v>
      </c>
      <c r="D33" s="5">
        <v>46008</v>
      </c>
      <c r="E33" s="4">
        <v>800091549</v>
      </c>
      <c r="F33" s="4" t="s">
        <v>408</v>
      </c>
      <c r="G33" s="4">
        <v>901907732</v>
      </c>
      <c r="H33" s="4" t="s">
        <v>427</v>
      </c>
      <c r="I33" s="6">
        <v>229559</v>
      </c>
      <c r="J33" s="6">
        <v>0</v>
      </c>
      <c r="K33" s="6">
        <v>0</v>
      </c>
      <c r="L33" s="6">
        <v>0</v>
      </c>
      <c r="M33" s="6">
        <v>0</v>
      </c>
      <c r="N33" s="6">
        <v>229559</v>
      </c>
    </row>
    <row r="34" spans="1:14" x14ac:dyDescent="0.2">
      <c r="A34" s="4" t="s">
        <v>14</v>
      </c>
      <c r="B34" s="4" t="s">
        <v>482</v>
      </c>
      <c r="C34" s="4">
        <v>592615</v>
      </c>
      <c r="D34" s="5">
        <v>46008</v>
      </c>
      <c r="E34" s="4">
        <v>800091549</v>
      </c>
      <c r="F34" s="4" t="s">
        <v>408</v>
      </c>
      <c r="G34" s="4">
        <v>901907732</v>
      </c>
      <c r="H34" s="4" t="s">
        <v>427</v>
      </c>
      <c r="I34" s="6">
        <v>135780</v>
      </c>
      <c r="J34" s="6">
        <v>0</v>
      </c>
      <c r="K34" s="6">
        <v>0</v>
      </c>
      <c r="L34" s="6">
        <v>0</v>
      </c>
      <c r="M34" s="6">
        <v>0</v>
      </c>
      <c r="N34" s="6">
        <v>135780</v>
      </c>
    </row>
    <row r="35" spans="1:14" x14ac:dyDescent="0.2">
      <c r="A35" s="4" t="s">
        <v>14</v>
      </c>
      <c r="B35" s="4" t="s">
        <v>483</v>
      </c>
      <c r="C35" s="4">
        <v>592614</v>
      </c>
      <c r="D35" s="5">
        <v>46008</v>
      </c>
      <c r="E35" s="4">
        <v>800091549</v>
      </c>
      <c r="F35" s="4" t="s">
        <v>408</v>
      </c>
      <c r="G35" s="4">
        <v>901907732</v>
      </c>
      <c r="H35" s="4" t="s">
        <v>427</v>
      </c>
      <c r="I35" s="6">
        <v>23266</v>
      </c>
      <c r="J35" s="6">
        <v>0</v>
      </c>
      <c r="K35" s="6">
        <v>0</v>
      </c>
      <c r="L35" s="6">
        <v>0</v>
      </c>
      <c r="M35" s="6">
        <v>0</v>
      </c>
      <c r="N35" s="6">
        <v>23266</v>
      </c>
    </row>
    <row r="36" spans="1:14" x14ac:dyDescent="0.2">
      <c r="A36" s="4" t="s">
        <v>14</v>
      </c>
      <c r="B36" s="4" t="s">
        <v>484</v>
      </c>
      <c r="C36" s="4">
        <v>592612</v>
      </c>
      <c r="D36" s="5">
        <v>46008</v>
      </c>
      <c r="E36" s="4">
        <v>800091549</v>
      </c>
      <c r="F36" s="4" t="s">
        <v>408</v>
      </c>
      <c r="G36" s="4">
        <v>901907732</v>
      </c>
      <c r="H36" s="4" t="s">
        <v>427</v>
      </c>
      <c r="I36" s="6">
        <v>332984</v>
      </c>
      <c r="J36" s="6">
        <v>0</v>
      </c>
      <c r="K36" s="6">
        <v>0</v>
      </c>
      <c r="L36" s="6">
        <v>0</v>
      </c>
      <c r="M36" s="6">
        <v>0</v>
      </c>
      <c r="N36" s="6">
        <v>332984</v>
      </c>
    </row>
    <row r="37" spans="1:14" x14ac:dyDescent="0.2">
      <c r="A37" s="4" t="s">
        <v>14</v>
      </c>
      <c r="B37" s="4" t="s">
        <v>485</v>
      </c>
      <c r="C37" s="4">
        <v>592611</v>
      </c>
      <c r="D37" s="5">
        <v>46008</v>
      </c>
      <c r="E37" s="4">
        <v>800091549</v>
      </c>
      <c r="F37" s="4" t="s">
        <v>408</v>
      </c>
      <c r="G37" s="4">
        <v>901907732</v>
      </c>
      <c r="H37" s="4" t="s">
        <v>427</v>
      </c>
      <c r="I37" s="6">
        <v>763843</v>
      </c>
      <c r="J37" s="6">
        <v>0</v>
      </c>
      <c r="K37" s="6">
        <v>0</v>
      </c>
      <c r="L37" s="6">
        <v>0</v>
      </c>
      <c r="M37" s="6">
        <v>0</v>
      </c>
      <c r="N37" s="6">
        <v>763843</v>
      </c>
    </row>
    <row r="38" spans="1:14" x14ac:dyDescent="0.2">
      <c r="A38" s="4" t="s">
        <v>14</v>
      </c>
      <c r="B38" s="4" t="s">
        <v>486</v>
      </c>
      <c r="C38" s="4">
        <v>592610</v>
      </c>
      <c r="D38" s="5">
        <v>46008</v>
      </c>
      <c r="E38" s="4">
        <v>800091549</v>
      </c>
      <c r="F38" s="4" t="s">
        <v>408</v>
      </c>
      <c r="G38" s="4">
        <v>901907732</v>
      </c>
      <c r="H38" s="4" t="s">
        <v>427</v>
      </c>
      <c r="I38" s="6">
        <v>127294</v>
      </c>
      <c r="J38" s="6">
        <v>0</v>
      </c>
      <c r="K38" s="6">
        <v>0</v>
      </c>
      <c r="L38" s="6">
        <v>0</v>
      </c>
      <c r="M38" s="6">
        <v>0</v>
      </c>
      <c r="N38" s="6">
        <v>127294</v>
      </c>
    </row>
    <row r="39" spans="1:14" x14ac:dyDescent="0.2">
      <c r="A39" s="4" t="s">
        <v>14</v>
      </c>
      <c r="B39" s="4" t="s">
        <v>487</v>
      </c>
      <c r="C39" s="4">
        <v>592609</v>
      </c>
      <c r="D39" s="5">
        <v>46008</v>
      </c>
      <c r="E39" s="4">
        <v>800091549</v>
      </c>
      <c r="F39" s="4" t="s">
        <v>408</v>
      </c>
      <c r="G39" s="4">
        <v>901907732</v>
      </c>
      <c r="H39" s="4" t="s">
        <v>427</v>
      </c>
      <c r="I39" s="6">
        <v>808214</v>
      </c>
      <c r="J39" s="6">
        <v>0</v>
      </c>
      <c r="K39" s="6">
        <v>0</v>
      </c>
      <c r="L39" s="6">
        <v>0</v>
      </c>
      <c r="M39" s="6">
        <v>0</v>
      </c>
      <c r="N39" s="6">
        <v>808214</v>
      </c>
    </row>
    <row r="40" spans="1:14" x14ac:dyDescent="0.2">
      <c r="A40" s="4" t="s">
        <v>14</v>
      </c>
      <c r="B40" s="4" t="s">
        <v>488</v>
      </c>
      <c r="C40" s="4">
        <v>592608</v>
      </c>
      <c r="D40" s="5">
        <v>46008</v>
      </c>
      <c r="E40" s="4">
        <v>800091549</v>
      </c>
      <c r="F40" s="4" t="s">
        <v>408</v>
      </c>
      <c r="G40" s="4">
        <v>901907732</v>
      </c>
      <c r="H40" s="4" t="s">
        <v>427</v>
      </c>
      <c r="I40" s="6">
        <v>232668</v>
      </c>
      <c r="J40" s="6">
        <v>0</v>
      </c>
      <c r="K40" s="6">
        <v>0</v>
      </c>
      <c r="L40" s="6">
        <v>0</v>
      </c>
      <c r="M40" s="6">
        <v>0</v>
      </c>
      <c r="N40" s="6">
        <v>232668</v>
      </c>
    </row>
    <row r="41" spans="1:14" x14ac:dyDescent="0.2">
      <c r="A41" s="4" t="s">
        <v>14</v>
      </c>
      <c r="B41" s="4" t="s">
        <v>489</v>
      </c>
      <c r="C41" s="4">
        <v>592606</v>
      </c>
      <c r="D41" s="5">
        <v>46008</v>
      </c>
      <c r="E41" s="4">
        <v>800091549</v>
      </c>
      <c r="F41" s="4" t="s">
        <v>408</v>
      </c>
      <c r="G41" s="4">
        <v>901907732</v>
      </c>
      <c r="H41" s="4" t="s">
        <v>427</v>
      </c>
      <c r="I41" s="6">
        <v>3346601</v>
      </c>
      <c r="J41" s="6">
        <v>0</v>
      </c>
      <c r="K41" s="6">
        <v>0</v>
      </c>
      <c r="L41" s="6">
        <v>0</v>
      </c>
      <c r="M41" s="6">
        <v>0</v>
      </c>
      <c r="N41" s="6">
        <v>3346601</v>
      </c>
    </row>
    <row r="42" spans="1:14" x14ac:dyDescent="0.2">
      <c r="A42" s="4" t="s">
        <v>14</v>
      </c>
      <c r="B42" s="4" t="s">
        <v>490</v>
      </c>
      <c r="C42" s="4">
        <v>865</v>
      </c>
      <c r="D42" s="5">
        <v>46008</v>
      </c>
      <c r="E42" s="4">
        <v>901649254</v>
      </c>
      <c r="F42" s="4" t="s">
        <v>429</v>
      </c>
      <c r="G42" s="4">
        <v>901907732</v>
      </c>
      <c r="H42" s="4" t="s">
        <v>427</v>
      </c>
      <c r="I42" s="6">
        <v>4663865.4000000004</v>
      </c>
      <c r="J42" s="6">
        <v>886134.43</v>
      </c>
      <c r="K42" s="6">
        <v>0</v>
      </c>
      <c r="L42" s="6">
        <v>0</v>
      </c>
      <c r="M42" s="6">
        <v>0</v>
      </c>
      <c r="N42" s="6">
        <v>5549999.8300000001</v>
      </c>
    </row>
    <row r="43" spans="1:14" x14ac:dyDescent="0.2">
      <c r="A43" s="4" t="s">
        <v>14</v>
      </c>
      <c r="B43" s="4" t="s">
        <v>491</v>
      </c>
      <c r="C43" s="4">
        <v>199201</v>
      </c>
      <c r="D43" s="5">
        <v>46007</v>
      </c>
      <c r="E43" s="4">
        <v>901192317</v>
      </c>
      <c r="F43" s="4" t="s">
        <v>492</v>
      </c>
      <c r="G43" s="4">
        <v>901907732</v>
      </c>
      <c r="H43" s="4" t="s">
        <v>16</v>
      </c>
      <c r="I43" s="6">
        <v>409206.89</v>
      </c>
      <c r="J43" s="6">
        <v>77750</v>
      </c>
      <c r="K43" s="6">
        <v>0</v>
      </c>
      <c r="L43" s="6">
        <v>0</v>
      </c>
      <c r="M43" s="6">
        <v>0</v>
      </c>
      <c r="N43" s="6">
        <v>486956.89</v>
      </c>
    </row>
    <row r="44" spans="1:14" x14ac:dyDescent="0.2">
      <c r="A44" s="4" t="s">
        <v>14</v>
      </c>
      <c r="B44" s="4" t="s">
        <v>493</v>
      </c>
      <c r="C44" s="4">
        <v>591876</v>
      </c>
      <c r="D44" s="5">
        <v>46006</v>
      </c>
      <c r="E44" s="4">
        <v>800091549</v>
      </c>
      <c r="F44" s="4" t="s">
        <v>408</v>
      </c>
      <c r="G44" s="4">
        <v>901907732</v>
      </c>
      <c r="H44" s="4" t="s">
        <v>427</v>
      </c>
      <c r="I44" s="6">
        <v>453800</v>
      </c>
      <c r="J44" s="6">
        <v>0</v>
      </c>
      <c r="K44" s="6">
        <v>0</v>
      </c>
      <c r="L44" s="6">
        <v>0</v>
      </c>
      <c r="M44" s="6">
        <v>0</v>
      </c>
      <c r="N44" s="6">
        <v>453800</v>
      </c>
    </row>
    <row r="45" spans="1:14" x14ac:dyDescent="0.2">
      <c r="A45" s="4" t="s">
        <v>14</v>
      </c>
      <c r="B45" s="4" t="s">
        <v>494</v>
      </c>
      <c r="C45" s="4">
        <v>95882</v>
      </c>
      <c r="D45" s="5">
        <v>46006</v>
      </c>
      <c r="E45" s="4">
        <v>900132642</v>
      </c>
      <c r="F45" s="4" t="s">
        <v>495</v>
      </c>
      <c r="G45" s="4">
        <v>901907732</v>
      </c>
      <c r="H45" s="4" t="s">
        <v>16</v>
      </c>
      <c r="I45" s="6">
        <v>30250</v>
      </c>
      <c r="J45" s="6">
        <v>5747.5</v>
      </c>
      <c r="K45" s="6">
        <v>0</v>
      </c>
      <c r="L45" s="6">
        <v>0</v>
      </c>
      <c r="M45" s="6">
        <v>0</v>
      </c>
      <c r="N45" s="6">
        <v>35997.5</v>
      </c>
    </row>
    <row r="46" spans="1:14" x14ac:dyDescent="0.2">
      <c r="A46" s="4" t="s">
        <v>14</v>
      </c>
      <c r="B46" s="4" t="s">
        <v>496</v>
      </c>
      <c r="C46" s="4">
        <v>858</v>
      </c>
      <c r="D46" s="5">
        <v>46006</v>
      </c>
      <c r="E46" s="4">
        <v>901649254</v>
      </c>
      <c r="F46" s="4" t="s">
        <v>429</v>
      </c>
      <c r="G46" s="4">
        <v>901907732</v>
      </c>
      <c r="H46" s="4" t="s">
        <v>427</v>
      </c>
      <c r="I46" s="6">
        <v>3516924.8</v>
      </c>
      <c r="J46" s="6">
        <v>668215.72</v>
      </c>
      <c r="K46" s="6">
        <v>0</v>
      </c>
      <c r="L46" s="6">
        <v>0</v>
      </c>
      <c r="M46" s="6">
        <v>0</v>
      </c>
      <c r="N46" s="6">
        <v>4185140.52</v>
      </c>
    </row>
    <row r="47" spans="1:14" x14ac:dyDescent="0.2">
      <c r="A47" s="4" t="s">
        <v>14</v>
      </c>
      <c r="B47" s="4" t="s">
        <v>497</v>
      </c>
      <c r="C47" s="4">
        <v>340690</v>
      </c>
      <c r="D47" s="5">
        <v>46006</v>
      </c>
      <c r="E47" s="4">
        <v>900471052</v>
      </c>
      <c r="F47" s="4" t="s">
        <v>498</v>
      </c>
      <c r="G47" s="4">
        <v>901907732</v>
      </c>
      <c r="H47" s="4" t="s">
        <v>499</v>
      </c>
      <c r="I47" s="6">
        <v>69900</v>
      </c>
      <c r="J47" s="6">
        <v>0</v>
      </c>
      <c r="K47" s="6">
        <v>0</v>
      </c>
      <c r="L47" s="6">
        <v>0</v>
      </c>
      <c r="M47" s="6">
        <v>0</v>
      </c>
      <c r="N47" s="6">
        <v>69900</v>
      </c>
    </row>
    <row r="48" spans="1:14" x14ac:dyDescent="0.2">
      <c r="A48" s="4" t="s">
        <v>14</v>
      </c>
      <c r="B48" s="4" t="s">
        <v>500</v>
      </c>
      <c r="C48" s="4">
        <v>118661</v>
      </c>
      <c r="D48" s="5">
        <v>46004</v>
      </c>
      <c r="E48" s="4">
        <v>900584970</v>
      </c>
      <c r="F48" s="4" t="s">
        <v>501</v>
      </c>
      <c r="G48" s="4">
        <v>901907732</v>
      </c>
      <c r="H48" s="4" t="s">
        <v>16</v>
      </c>
      <c r="I48" s="6">
        <v>64694</v>
      </c>
      <c r="J48" s="6">
        <v>12292</v>
      </c>
      <c r="K48" s="6">
        <v>0</v>
      </c>
      <c r="L48" s="6">
        <v>0</v>
      </c>
      <c r="M48" s="6">
        <v>0</v>
      </c>
      <c r="N48" s="6">
        <v>76986</v>
      </c>
    </row>
    <row r="49" spans="1:15" x14ac:dyDescent="0.2">
      <c r="A49" s="4" t="s">
        <v>14</v>
      </c>
      <c r="B49" s="4" t="s">
        <v>502</v>
      </c>
      <c r="C49" s="4">
        <v>80812</v>
      </c>
      <c r="D49" s="5">
        <v>46004</v>
      </c>
      <c r="E49" s="4">
        <v>900363864</v>
      </c>
      <c r="F49" s="4" t="s">
        <v>503</v>
      </c>
      <c r="G49" s="4">
        <v>901907732</v>
      </c>
      <c r="H49" s="4" t="s">
        <v>450</v>
      </c>
      <c r="I49" s="6">
        <v>90336.13</v>
      </c>
      <c r="J49" s="6">
        <v>17163.87</v>
      </c>
      <c r="K49" s="6">
        <v>0</v>
      </c>
      <c r="L49" s="6">
        <v>0</v>
      </c>
      <c r="M49" s="6">
        <v>0</v>
      </c>
      <c r="N49" s="6">
        <v>107500</v>
      </c>
    </row>
    <row r="50" spans="1:15" x14ac:dyDescent="0.2">
      <c r="A50" s="4" t="s">
        <v>14</v>
      </c>
      <c r="B50" s="4" t="s">
        <v>504</v>
      </c>
      <c r="C50" s="4">
        <v>855</v>
      </c>
      <c r="D50" s="5">
        <v>46004</v>
      </c>
      <c r="E50" s="4">
        <v>901649254</v>
      </c>
      <c r="F50" s="4" t="s">
        <v>429</v>
      </c>
      <c r="G50" s="4">
        <v>901907732</v>
      </c>
      <c r="H50" s="4" t="s">
        <v>427</v>
      </c>
      <c r="I50" s="6">
        <v>5591955.1200000001</v>
      </c>
      <c r="J50" s="6">
        <v>1062471.47</v>
      </c>
      <c r="K50" s="6">
        <v>0</v>
      </c>
      <c r="L50" s="6">
        <v>0</v>
      </c>
      <c r="M50" s="6">
        <v>0</v>
      </c>
      <c r="N50" s="6">
        <v>6654426.5899999999</v>
      </c>
    </row>
    <row r="51" spans="1:15" x14ac:dyDescent="0.2">
      <c r="A51" s="4" t="s">
        <v>14</v>
      </c>
      <c r="B51" s="4" t="s">
        <v>505</v>
      </c>
      <c r="C51" s="4">
        <v>7976</v>
      </c>
      <c r="D51" s="5">
        <v>46003</v>
      </c>
      <c r="E51" s="4">
        <v>901519900</v>
      </c>
      <c r="F51" s="4" t="s">
        <v>467</v>
      </c>
      <c r="G51" s="4">
        <v>901907732</v>
      </c>
      <c r="H51" s="4" t="s">
        <v>16</v>
      </c>
      <c r="I51" s="6">
        <v>34000</v>
      </c>
      <c r="J51" s="6">
        <v>0</v>
      </c>
      <c r="K51" s="6">
        <v>0</v>
      </c>
      <c r="L51" s="6">
        <v>0</v>
      </c>
      <c r="M51" s="6">
        <v>0</v>
      </c>
      <c r="N51" s="6">
        <v>34000</v>
      </c>
    </row>
    <row r="52" spans="1:15" x14ac:dyDescent="0.2">
      <c r="A52" s="4" t="s">
        <v>14</v>
      </c>
      <c r="B52" s="4" t="s">
        <v>506</v>
      </c>
      <c r="C52" s="4">
        <v>150179</v>
      </c>
      <c r="D52" s="5">
        <v>46003</v>
      </c>
      <c r="E52" s="4">
        <v>811000784</v>
      </c>
      <c r="F52" s="4" t="s">
        <v>456</v>
      </c>
      <c r="G52" s="4">
        <v>901907732</v>
      </c>
      <c r="H52" s="4" t="s">
        <v>457</v>
      </c>
      <c r="I52" s="6">
        <v>3529.41</v>
      </c>
      <c r="J52" s="6">
        <v>670.59</v>
      </c>
      <c r="K52" s="6">
        <v>0</v>
      </c>
      <c r="L52" s="6">
        <v>0</v>
      </c>
      <c r="M52" s="6">
        <v>0</v>
      </c>
      <c r="N52" s="6">
        <v>4200</v>
      </c>
    </row>
    <row r="53" spans="1:15" x14ac:dyDescent="0.2">
      <c r="A53" s="4" t="s">
        <v>14</v>
      </c>
      <c r="B53" s="4" t="s">
        <v>507</v>
      </c>
      <c r="C53" s="4">
        <v>198799</v>
      </c>
      <c r="D53" s="5">
        <v>46003</v>
      </c>
      <c r="E53" s="4">
        <v>901192317</v>
      </c>
      <c r="F53" s="4" t="s">
        <v>492</v>
      </c>
      <c r="G53" s="4">
        <v>901907732</v>
      </c>
      <c r="H53" s="4" t="s">
        <v>16</v>
      </c>
      <c r="I53" s="6">
        <v>534715.61</v>
      </c>
      <c r="J53" s="6">
        <v>101597</v>
      </c>
      <c r="K53" s="6">
        <v>0</v>
      </c>
      <c r="L53" s="6">
        <v>0</v>
      </c>
      <c r="M53" s="6">
        <v>0</v>
      </c>
      <c r="N53" s="6">
        <v>636312.61</v>
      </c>
      <c r="O53" s="16">
        <f>+I53*2.5%</f>
        <v>13367.89025</v>
      </c>
    </row>
    <row r="54" spans="1:15" x14ac:dyDescent="0.2">
      <c r="A54" s="4" t="s">
        <v>14</v>
      </c>
      <c r="B54" s="4" t="s">
        <v>508</v>
      </c>
      <c r="C54" s="4">
        <v>13184</v>
      </c>
      <c r="D54" s="5">
        <v>46003</v>
      </c>
      <c r="E54" s="4">
        <v>700108357</v>
      </c>
      <c r="F54" s="4" t="s">
        <v>470</v>
      </c>
      <c r="G54" s="4">
        <v>901907732</v>
      </c>
      <c r="H54" s="4" t="s">
        <v>471</v>
      </c>
      <c r="I54" s="6">
        <v>159000</v>
      </c>
      <c r="J54" s="6">
        <v>0</v>
      </c>
      <c r="K54" s="6">
        <v>0</v>
      </c>
      <c r="L54" s="6">
        <v>0</v>
      </c>
      <c r="M54" s="6">
        <v>0</v>
      </c>
      <c r="N54" s="6">
        <v>159000</v>
      </c>
      <c r="O54" s="16">
        <f>+I54*3.5%</f>
        <v>5565.0000000000009</v>
      </c>
    </row>
    <row r="55" spans="1:15" x14ac:dyDescent="0.2">
      <c r="A55" s="4" t="s">
        <v>14</v>
      </c>
      <c r="B55" s="4" t="s">
        <v>509</v>
      </c>
      <c r="C55" s="4">
        <v>849</v>
      </c>
      <c r="D55" s="5">
        <v>46003</v>
      </c>
      <c r="E55" s="4">
        <v>901649254</v>
      </c>
      <c r="F55" s="4" t="s">
        <v>429</v>
      </c>
      <c r="G55" s="4">
        <v>901907732</v>
      </c>
      <c r="H55" s="4" t="s">
        <v>427</v>
      </c>
      <c r="I55" s="6">
        <v>7563024</v>
      </c>
      <c r="J55" s="6">
        <v>1436974.56</v>
      </c>
      <c r="K55" s="6">
        <v>0</v>
      </c>
      <c r="L55" s="6">
        <v>0</v>
      </c>
      <c r="M55" s="6">
        <v>0</v>
      </c>
      <c r="N55" s="6">
        <v>8999998.5600000005</v>
      </c>
    </row>
    <row r="56" spans="1:15" x14ac:dyDescent="0.2">
      <c r="A56" s="4" t="s">
        <v>14</v>
      </c>
      <c r="B56" s="4" t="s">
        <v>510</v>
      </c>
      <c r="C56" s="4">
        <v>464594</v>
      </c>
      <c r="D56" s="5">
        <v>46002</v>
      </c>
      <c r="E56" s="4">
        <v>900219834</v>
      </c>
      <c r="F56" s="4" t="s">
        <v>439</v>
      </c>
      <c r="G56" s="4">
        <v>901907732</v>
      </c>
      <c r="H56" s="4" t="s">
        <v>440</v>
      </c>
      <c r="I56" s="6">
        <v>3781.51</v>
      </c>
      <c r="J56" s="6">
        <v>718.49</v>
      </c>
      <c r="K56" s="6">
        <v>0</v>
      </c>
      <c r="L56" s="6">
        <v>0</v>
      </c>
      <c r="M56" s="6">
        <v>0</v>
      </c>
      <c r="N56" s="6">
        <v>4500</v>
      </c>
    </row>
    <row r="57" spans="1:15" x14ac:dyDescent="0.2">
      <c r="A57" s="4" t="s">
        <v>14</v>
      </c>
      <c r="B57" s="4" t="s">
        <v>511</v>
      </c>
      <c r="C57" s="4">
        <v>163535970</v>
      </c>
      <c r="D57" s="5">
        <v>46002</v>
      </c>
      <c r="E57" s="4">
        <v>830114921</v>
      </c>
      <c r="F57" s="4" t="s">
        <v>459</v>
      </c>
      <c r="G57" s="4">
        <v>901907732</v>
      </c>
      <c r="H57" s="4" t="s">
        <v>460</v>
      </c>
      <c r="I57" s="6">
        <v>6302.59</v>
      </c>
      <c r="J57" s="6">
        <v>1197.4100000000001</v>
      </c>
      <c r="K57" s="6">
        <v>0</v>
      </c>
      <c r="L57" s="6">
        <v>0</v>
      </c>
      <c r="M57" s="6">
        <v>0</v>
      </c>
      <c r="N57" s="6">
        <v>7500</v>
      </c>
    </row>
    <row r="58" spans="1:15" x14ac:dyDescent="0.2">
      <c r="A58" s="4" t="s">
        <v>14</v>
      </c>
      <c r="B58" s="4" t="s">
        <v>512</v>
      </c>
      <c r="C58" s="4">
        <v>8886341</v>
      </c>
      <c r="D58" s="5">
        <v>46001</v>
      </c>
      <c r="E58" s="4">
        <v>900219834</v>
      </c>
      <c r="F58" s="4" t="s">
        <v>439</v>
      </c>
      <c r="G58" s="4">
        <v>901907732</v>
      </c>
      <c r="H58" s="4" t="s">
        <v>440</v>
      </c>
      <c r="I58" s="6">
        <v>3739.51</v>
      </c>
      <c r="J58" s="6">
        <v>710.49</v>
      </c>
      <c r="K58" s="6">
        <v>0</v>
      </c>
      <c r="L58" s="6">
        <v>0</v>
      </c>
      <c r="M58" s="6">
        <v>0</v>
      </c>
      <c r="N58" s="6">
        <v>4450</v>
      </c>
    </row>
    <row r="59" spans="1:15" x14ac:dyDescent="0.2">
      <c r="A59" s="4" t="s">
        <v>14</v>
      </c>
      <c r="B59" s="4" t="s">
        <v>513</v>
      </c>
      <c r="C59" s="4">
        <v>437529</v>
      </c>
      <c r="D59" s="5">
        <v>46001</v>
      </c>
      <c r="E59" s="4">
        <v>900219834</v>
      </c>
      <c r="F59" s="4" t="s">
        <v>439</v>
      </c>
      <c r="G59" s="4">
        <v>901907732</v>
      </c>
      <c r="H59" s="4" t="s">
        <v>440</v>
      </c>
      <c r="I59" s="6">
        <v>6554.62</v>
      </c>
      <c r="J59" s="6">
        <v>1245.3800000000001</v>
      </c>
      <c r="K59" s="6">
        <v>0</v>
      </c>
      <c r="L59" s="6">
        <v>0</v>
      </c>
      <c r="M59" s="6">
        <v>0</v>
      </c>
      <c r="N59" s="6">
        <v>7800</v>
      </c>
    </row>
    <row r="60" spans="1:15" x14ac:dyDescent="0.2">
      <c r="A60" s="4" t="s">
        <v>14</v>
      </c>
      <c r="B60" s="4" t="s">
        <v>514</v>
      </c>
      <c r="C60" s="4">
        <v>208497</v>
      </c>
      <c r="D60" s="5">
        <v>45997</v>
      </c>
      <c r="E60" s="4">
        <v>890941794</v>
      </c>
      <c r="F60" s="4" t="s">
        <v>515</v>
      </c>
      <c r="G60" s="4">
        <v>901907732</v>
      </c>
      <c r="H60" s="4" t="s">
        <v>16</v>
      </c>
      <c r="I60" s="6">
        <v>215500</v>
      </c>
      <c r="J60" s="6">
        <v>40945</v>
      </c>
      <c r="K60" s="6">
        <v>0</v>
      </c>
      <c r="L60" s="6">
        <v>0</v>
      </c>
      <c r="M60" s="6">
        <v>0</v>
      </c>
      <c r="N60" s="6">
        <v>256445</v>
      </c>
    </row>
    <row r="61" spans="1:15" x14ac:dyDescent="0.2">
      <c r="A61" s="4" t="s">
        <v>14</v>
      </c>
      <c r="B61" s="4" t="s">
        <v>516</v>
      </c>
      <c r="C61" s="4">
        <v>4320</v>
      </c>
      <c r="D61" s="5">
        <v>45997</v>
      </c>
      <c r="E61" s="4">
        <v>901421223</v>
      </c>
      <c r="F61" s="4" t="s">
        <v>517</v>
      </c>
      <c r="G61" s="4">
        <v>901907732</v>
      </c>
      <c r="H61" s="4" t="s">
        <v>16</v>
      </c>
      <c r="I61" s="6">
        <v>151260.5</v>
      </c>
      <c r="J61" s="6">
        <v>28739.5</v>
      </c>
      <c r="K61" s="6">
        <v>0</v>
      </c>
      <c r="L61" s="6">
        <v>0</v>
      </c>
      <c r="M61" s="6">
        <v>0</v>
      </c>
      <c r="N61" s="6">
        <v>180000</v>
      </c>
    </row>
    <row r="62" spans="1:15" x14ac:dyDescent="0.2">
      <c r="A62" s="4" t="s">
        <v>14</v>
      </c>
      <c r="B62" s="4" t="s">
        <v>518</v>
      </c>
      <c r="C62" s="4">
        <v>362477</v>
      </c>
      <c r="D62" s="5">
        <v>45996</v>
      </c>
      <c r="E62" s="4">
        <v>900219834</v>
      </c>
      <c r="F62" s="4" t="s">
        <v>439</v>
      </c>
      <c r="G62" s="4">
        <v>901907732</v>
      </c>
      <c r="H62" s="4" t="s">
        <v>440</v>
      </c>
      <c r="I62" s="6">
        <v>5042.0200000000004</v>
      </c>
      <c r="J62" s="6">
        <v>957.98</v>
      </c>
      <c r="K62" s="6">
        <v>0</v>
      </c>
      <c r="L62" s="6">
        <v>0</v>
      </c>
      <c r="M62" s="6">
        <v>0</v>
      </c>
      <c r="N62" s="6">
        <v>6000</v>
      </c>
    </row>
    <row r="63" spans="1:15" x14ac:dyDescent="0.2">
      <c r="A63" s="4" t="s">
        <v>14</v>
      </c>
      <c r="B63" s="4" t="s">
        <v>519</v>
      </c>
      <c r="C63" s="4">
        <v>36051</v>
      </c>
      <c r="D63" s="5">
        <v>45996</v>
      </c>
      <c r="E63" s="4">
        <v>901051870</v>
      </c>
      <c r="F63" s="4" t="s">
        <v>520</v>
      </c>
      <c r="G63" s="4">
        <v>901907732</v>
      </c>
      <c r="H63" s="4" t="s">
        <v>521</v>
      </c>
      <c r="I63" s="6">
        <v>112689.08</v>
      </c>
      <c r="J63" s="6">
        <v>4310.92</v>
      </c>
      <c r="K63" s="6">
        <v>0</v>
      </c>
      <c r="L63" s="6">
        <v>0</v>
      </c>
      <c r="M63" s="6">
        <v>0</v>
      </c>
      <c r="N63" s="6">
        <v>117000</v>
      </c>
    </row>
    <row r="64" spans="1:15" x14ac:dyDescent="0.2">
      <c r="A64" s="4" t="s">
        <v>14</v>
      </c>
      <c r="B64" s="4" t="s">
        <v>522</v>
      </c>
      <c r="C64" s="4">
        <v>13129</v>
      </c>
      <c r="D64" s="5">
        <v>45996</v>
      </c>
      <c r="E64" s="4">
        <v>700108357</v>
      </c>
      <c r="F64" s="4" t="s">
        <v>470</v>
      </c>
      <c r="G64" s="4">
        <v>901907732</v>
      </c>
      <c r="H64" s="4" t="s">
        <v>471</v>
      </c>
      <c r="I64" s="6">
        <v>218000</v>
      </c>
      <c r="J64" s="6">
        <v>0</v>
      </c>
      <c r="K64" s="6">
        <v>0</v>
      </c>
      <c r="L64" s="6">
        <v>0</v>
      </c>
      <c r="M64" s="6">
        <v>0</v>
      </c>
      <c r="N64" s="6">
        <v>218000</v>
      </c>
      <c r="O64" s="16">
        <f>+I64*3.5%</f>
        <v>7630.0000000000009</v>
      </c>
    </row>
    <row r="65" spans="1:15" x14ac:dyDescent="0.2">
      <c r="A65" s="4" t="s">
        <v>14</v>
      </c>
      <c r="B65" s="4" t="s">
        <v>523</v>
      </c>
      <c r="C65" s="4">
        <v>36004</v>
      </c>
      <c r="D65" s="5">
        <v>45996</v>
      </c>
      <c r="E65" s="4">
        <v>901051870</v>
      </c>
      <c r="F65" s="4" t="s">
        <v>520</v>
      </c>
      <c r="G65" s="4">
        <v>901907732</v>
      </c>
      <c r="H65" s="4" t="s">
        <v>521</v>
      </c>
      <c r="I65" s="6">
        <v>112689.08</v>
      </c>
      <c r="J65" s="6">
        <v>4310.92</v>
      </c>
      <c r="K65" s="6">
        <v>0</v>
      </c>
      <c r="L65" s="6">
        <v>0</v>
      </c>
      <c r="M65" s="6">
        <v>0</v>
      </c>
      <c r="N65" s="6">
        <v>117000</v>
      </c>
    </row>
    <row r="66" spans="1:15" x14ac:dyDescent="0.2">
      <c r="A66" s="4" t="s">
        <v>14</v>
      </c>
      <c r="B66" s="4" t="s">
        <v>524</v>
      </c>
      <c r="C66" s="4">
        <v>1282</v>
      </c>
      <c r="D66" s="5">
        <v>45996</v>
      </c>
      <c r="E66" s="4">
        <v>93397337</v>
      </c>
      <c r="F66" s="4" t="s">
        <v>525</v>
      </c>
      <c r="G66" s="4">
        <v>901907732</v>
      </c>
      <c r="H66" s="4" t="s">
        <v>16</v>
      </c>
      <c r="I66" s="6">
        <v>100000</v>
      </c>
      <c r="J66" s="6">
        <v>0</v>
      </c>
      <c r="K66" s="6">
        <v>0</v>
      </c>
      <c r="L66" s="6">
        <v>0</v>
      </c>
      <c r="M66" s="6">
        <v>0</v>
      </c>
      <c r="N66" s="6">
        <v>100000</v>
      </c>
    </row>
    <row r="67" spans="1:15" x14ac:dyDescent="0.2">
      <c r="A67" s="4" t="s">
        <v>14</v>
      </c>
      <c r="B67" s="4" t="s">
        <v>526</v>
      </c>
      <c r="C67" s="4">
        <v>318572</v>
      </c>
      <c r="D67" s="5">
        <v>45994</v>
      </c>
      <c r="E67" s="4">
        <v>900219834</v>
      </c>
      <c r="F67" s="4" t="s">
        <v>439</v>
      </c>
      <c r="G67" s="4">
        <v>901907732</v>
      </c>
      <c r="H67" s="4" t="s">
        <v>440</v>
      </c>
      <c r="I67" s="6">
        <v>3277.31</v>
      </c>
      <c r="J67" s="6">
        <v>622.69000000000005</v>
      </c>
      <c r="K67" s="6">
        <v>0</v>
      </c>
      <c r="L67" s="6">
        <v>0</v>
      </c>
      <c r="M67" s="6">
        <v>0</v>
      </c>
      <c r="N67" s="6">
        <v>3900</v>
      </c>
    </row>
    <row r="68" spans="1:15" x14ac:dyDescent="0.2">
      <c r="A68" s="4" t="s">
        <v>14</v>
      </c>
      <c r="B68" s="4" t="s">
        <v>527</v>
      </c>
      <c r="C68" s="4">
        <v>208027</v>
      </c>
      <c r="D68" s="5">
        <v>45994</v>
      </c>
      <c r="E68" s="4">
        <v>890941794</v>
      </c>
      <c r="F68" s="4" t="s">
        <v>515</v>
      </c>
      <c r="G68" s="4">
        <v>901907732</v>
      </c>
      <c r="H68" s="4" t="s">
        <v>16</v>
      </c>
      <c r="I68" s="6">
        <v>568459</v>
      </c>
      <c r="J68" s="6">
        <v>108007.21</v>
      </c>
      <c r="K68" s="6">
        <v>0</v>
      </c>
      <c r="L68" s="6">
        <v>0</v>
      </c>
      <c r="M68" s="6">
        <v>0</v>
      </c>
      <c r="N68" s="6">
        <v>676466.21</v>
      </c>
      <c r="O68" s="16">
        <f>+I68*2.5%</f>
        <v>14211.475</v>
      </c>
    </row>
    <row r="69" spans="1:15" x14ac:dyDescent="0.2">
      <c r="A69" s="4" t="s">
        <v>14</v>
      </c>
      <c r="B69" s="4" t="s">
        <v>528</v>
      </c>
      <c r="C69" s="4">
        <v>80249</v>
      </c>
      <c r="D69" s="5">
        <v>45994</v>
      </c>
      <c r="E69" s="4">
        <v>830085336</v>
      </c>
      <c r="F69" s="4" t="s">
        <v>449</v>
      </c>
      <c r="G69" s="4">
        <v>901907732</v>
      </c>
      <c r="H69" s="4" t="s">
        <v>450</v>
      </c>
      <c r="I69" s="6">
        <v>88235.290000000008</v>
      </c>
      <c r="J69" s="6">
        <v>16764.71</v>
      </c>
      <c r="K69" s="6">
        <v>0</v>
      </c>
      <c r="L69" s="6">
        <v>0</v>
      </c>
      <c r="M69" s="6">
        <v>0</v>
      </c>
      <c r="N69" s="6">
        <v>105000</v>
      </c>
    </row>
    <row r="70" spans="1:15" x14ac:dyDescent="0.2">
      <c r="A70" s="4" t="s">
        <v>14</v>
      </c>
      <c r="B70" s="4" t="s">
        <v>529</v>
      </c>
      <c r="C70" s="4">
        <v>15766</v>
      </c>
      <c r="D70" s="5">
        <v>45994</v>
      </c>
      <c r="E70" s="4">
        <v>900594706</v>
      </c>
      <c r="F70" s="4" t="s">
        <v>530</v>
      </c>
      <c r="G70" s="4">
        <v>901907732</v>
      </c>
      <c r="H70" s="4" t="s">
        <v>16</v>
      </c>
      <c r="I70" s="6">
        <v>113445.99999999999</v>
      </c>
      <c r="J70" s="6">
        <v>21554.74</v>
      </c>
      <c r="K70" s="6">
        <v>0</v>
      </c>
      <c r="L70" s="6">
        <v>0</v>
      </c>
      <c r="M70" s="6">
        <v>0</v>
      </c>
      <c r="N70" s="6">
        <v>135000.74</v>
      </c>
    </row>
    <row r="71" spans="1:15" x14ac:dyDescent="0.2">
      <c r="A71" s="4" t="s">
        <v>14</v>
      </c>
      <c r="B71" s="4" t="s">
        <v>531</v>
      </c>
      <c r="C71" s="4">
        <v>7723</v>
      </c>
      <c r="D71" s="5">
        <v>45993</v>
      </c>
      <c r="E71" s="4">
        <v>900762275</v>
      </c>
      <c r="F71" s="4" t="s">
        <v>532</v>
      </c>
      <c r="G71" s="4">
        <v>901907732</v>
      </c>
      <c r="H71" s="4" t="s">
        <v>16</v>
      </c>
      <c r="I71" s="6">
        <v>159797.82</v>
      </c>
      <c r="J71" s="6">
        <v>0</v>
      </c>
      <c r="K71" s="6">
        <v>0</v>
      </c>
      <c r="L71" s="6">
        <v>0</v>
      </c>
      <c r="M71" s="6">
        <v>0</v>
      </c>
      <c r="N71" s="6">
        <v>159797.82</v>
      </c>
    </row>
    <row r="72" spans="1:15" x14ac:dyDescent="0.2">
      <c r="A72" s="4" t="s">
        <v>14</v>
      </c>
      <c r="B72" s="4" t="s">
        <v>533</v>
      </c>
      <c r="C72" s="4">
        <v>7722</v>
      </c>
      <c r="D72" s="5">
        <v>45993</v>
      </c>
      <c r="E72" s="4">
        <v>900762275</v>
      </c>
      <c r="F72" s="4" t="s">
        <v>532</v>
      </c>
      <c r="G72" s="4">
        <v>901907732</v>
      </c>
      <c r="H72" s="4" t="s">
        <v>16</v>
      </c>
      <c r="I72" s="6">
        <v>705150</v>
      </c>
      <c r="J72" s="6">
        <v>0</v>
      </c>
      <c r="K72" s="6">
        <v>0</v>
      </c>
      <c r="L72" s="6">
        <v>0</v>
      </c>
      <c r="M72" s="6">
        <v>0</v>
      </c>
      <c r="N72" s="6">
        <v>705150</v>
      </c>
    </row>
    <row r="73" spans="1:15" x14ac:dyDescent="0.2">
      <c r="A73" s="4" t="s">
        <v>14</v>
      </c>
      <c r="B73" s="4" t="s">
        <v>534</v>
      </c>
      <c r="C73" s="4">
        <v>304532</v>
      </c>
      <c r="D73" s="5">
        <v>45993</v>
      </c>
      <c r="E73" s="4">
        <v>900219834</v>
      </c>
      <c r="F73" s="4" t="s">
        <v>439</v>
      </c>
      <c r="G73" s="4">
        <v>901907732</v>
      </c>
      <c r="H73" s="4" t="s">
        <v>440</v>
      </c>
      <c r="I73" s="6">
        <v>3781.51</v>
      </c>
      <c r="J73" s="6">
        <v>718.49</v>
      </c>
      <c r="K73" s="6">
        <v>0</v>
      </c>
      <c r="L73" s="6">
        <v>0</v>
      </c>
      <c r="M73" s="6">
        <v>0</v>
      </c>
      <c r="N73" s="6">
        <v>4500</v>
      </c>
    </row>
    <row r="74" spans="1:15" x14ac:dyDescent="0.2">
      <c r="A74" s="4" t="s">
        <v>14</v>
      </c>
      <c r="B74" s="4" t="s">
        <v>535</v>
      </c>
      <c r="C74" s="4">
        <v>594039</v>
      </c>
      <c r="D74" s="5">
        <v>45991</v>
      </c>
      <c r="E74" s="4">
        <v>900188685</v>
      </c>
      <c r="F74" s="4" t="s">
        <v>536</v>
      </c>
      <c r="G74" s="4">
        <v>901907732</v>
      </c>
      <c r="H74" s="4" t="s">
        <v>16</v>
      </c>
      <c r="I74" s="6">
        <v>368204</v>
      </c>
      <c r="J74" s="6">
        <v>69958.759999999995</v>
      </c>
      <c r="K74" s="6">
        <v>0</v>
      </c>
      <c r="L74" s="6">
        <v>0</v>
      </c>
      <c r="M74" s="6">
        <v>0</v>
      </c>
      <c r="N74" s="6">
        <v>438162.76</v>
      </c>
    </row>
    <row r="75" spans="1:15" x14ac:dyDescent="0.2">
      <c r="A75" s="4" t="s">
        <v>14</v>
      </c>
      <c r="B75" s="4" t="s">
        <v>537</v>
      </c>
      <c r="C75" s="4">
        <v>38739</v>
      </c>
      <c r="D75" s="5">
        <v>45983</v>
      </c>
      <c r="E75" s="4">
        <v>900219834</v>
      </c>
      <c r="F75" s="4" t="s">
        <v>439</v>
      </c>
      <c r="G75" s="4">
        <v>901907732</v>
      </c>
      <c r="H75" s="4" t="s">
        <v>440</v>
      </c>
      <c r="I75" s="6">
        <v>4600</v>
      </c>
      <c r="J75" s="6">
        <v>0</v>
      </c>
      <c r="K75" s="6">
        <v>0</v>
      </c>
      <c r="L75" s="6">
        <v>0</v>
      </c>
      <c r="M75" s="6">
        <v>0</v>
      </c>
      <c r="N75" s="6">
        <v>4600</v>
      </c>
    </row>
    <row r="76" spans="1:15" x14ac:dyDescent="0.2">
      <c r="A76" s="4" t="s">
        <v>77</v>
      </c>
      <c r="B76" s="4" t="s">
        <v>538</v>
      </c>
      <c r="C76" s="4" t="s">
        <v>539</v>
      </c>
      <c r="D76" s="5">
        <v>45990</v>
      </c>
      <c r="E76" s="4">
        <v>900219834</v>
      </c>
      <c r="F76" s="4" t="s">
        <v>439</v>
      </c>
      <c r="G76" s="4">
        <v>901907732</v>
      </c>
      <c r="H76" s="4" t="s">
        <v>440</v>
      </c>
      <c r="I76" s="6">
        <v>-4600</v>
      </c>
      <c r="J76" s="6">
        <v>0</v>
      </c>
      <c r="K76" s="6">
        <v>0</v>
      </c>
      <c r="L76" s="6">
        <v>0</v>
      </c>
      <c r="M76" s="6">
        <v>0</v>
      </c>
      <c r="N76" s="6">
        <v>-4600</v>
      </c>
    </row>
    <row r="77" spans="1:15" x14ac:dyDescent="0.2">
      <c r="A77" s="4" t="s">
        <v>14</v>
      </c>
      <c r="B77" s="4" t="s">
        <v>540</v>
      </c>
      <c r="C77" s="4">
        <v>13086</v>
      </c>
      <c r="D77" s="5">
        <v>45990</v>
      </c>
      <c r="E77" s="4">
        <v>700108357</v>
      </c>
      <c r="F77" s="4" t="s">
        <v>470</v>
      </c>
      <c r="G77" s="4">
        <v>901907732</v>
      </c>
      <c r="H77" s="4" t="s">
        <v>471</v>
      </c>
      <c r="I77" s="6">
        <v>273000</v>
      </c>
      <c r="J77" s="6">
        <v>0</v>
      </c>
      <c r="K77" s="6">
        <v>0</v>
      </c>
      <c r="L77" s="6">
        <v>0</v>
      </c>
      <c r="M77" s="6">
        <v>0</v>
      </c>
      <c r="N77" s="6">
        <v>273000</v>
      </c>
      <c r="O77" s="16">
        <f>+I77*3.5%</f>
        <v>9555</v>
      </c>
    </row>
    <row r="78" spans="1:15" x14ac:dyDescent="0.2">
      <c r="A78" s="4" t="s">
        <v>14</v>
      </c>
      <c r="B78" s="4" t="s">
        <v>541</v>
      </c>
      <c r="C78" s="4">
        <v>147918</v>
      </c>
      <c r="D78" s="5">
        <v>45989</v>
      </c>
      <c r="E78" s="4">
        <v>900219834</v>
      </c>
      <c r="F78" s="4" t="s">
        <v>439</v>
      </c>
      <c r="G78" s="4">
        <v>901907732</v>
      </c>
      <c r="H78" s="4" t="s">
        <v>440</v>
      </c>
      <c r="I78" s="6">
        <v>3361.34</v>
      </c>
      <c r="J78" s="6">
        <v>638.66</v>
      </c>
      <c r="K78" s="6">
        <v>0</v>
      </c>
      <c r="L78" s="6">
        <v>0</v>
      </c>
      <c r="M78" s="6">
        <v>0</v>
      </c>
      <c r="N78" s="6">
        <v>4000</v>
      </c>
    </row>
    <row r="79" spans="1:15" x14ac:dyDescent="0.2">
      <c r="A79" s="4" t="s">
        <v>14</v>
      </c>
      <c r="B79" s="4" t="s">
        <v>542</v>
      </c>
      <c r="C79" s="4">
        <v>183730</v>
      </c>
      <c r="D79" s="5">
        <v>45988</v>
      </c>
      <c r="E79" s="4">
        <v>900378652</v>
      </c>
      <c r="F79" s="4" t="s">
        <v>543</v>
      </c>
      <c r="G79" s="4">
        <v>901907732</v>
      </c>
      <c r="H79" s="4" t="s">
        <v>16</v>
      </c>
      <c r="I79" s="6">
        <v>293620.17</v>
      </c>
      <c r="J79" s="6">
        <v>55787.83</v>
      </c>
      <c r="K79" s="6">
        <v>0</v>
      </c>
      <c r="L79" s="6">
        <v>0</v>
      </c>
      <c r="M79" s="6">
        <v>0</v>
      </c>
      <c r="N79" s="6">
        <v>349408</v>
      </c>
    </row>
    <row r="80" spans="1:15" x14ac:dyDescent="0.2">
      <c r="A80" s="4" t="s">
        <v>14</v>
      </c>
      <c r="B80" s="4" t="s">
        <v>544</v>
      </c>
      <c r="C80" s="4">
        <v>111476</v>
      </c>
      <c r="D80" s="5">
        <v>45988</v>
      </c>
      <c r="E80" s="4">
        <v>901237330</v>
      </c>
      <c r="F80" s="4" t="s">
        <v>545</v>
      </c>
      <c r="G80" s="4">
        <v>901907732</v>
      </c>
      <c r="H80" s="4" t="s">
        <v>16</v>
      </c>
      <c r="I80" s="6">
        <v>129453.79000000001</v>
      </c>
      <c r="J80" s="6">
        <v>24596.22</v>
      </c>
      <c r="K80" s="6">
        <v>0</v>
      </c>
      <c r="L80" s="6">
        <v>0</v>
      </c>
      <c r="M80" s="6">
        <v>0</v>
      </c>
      <c r="N80" s="6">
        <v>154050.01</v>
      </c>
    </row>
    <row r="81" spans="1:15" x14ac:dyDescent="0.2">
      <c r="A81" s="4" t="s">
        <v>14</v>
      </c>
      <c r="B81" s="4" t="s">
        <v>546</v>
      </c>
      <c r="C81" s="4">
        <v>111102</v>
      </c>
      <c r="D81" s="5">
        <v>45988</v>
      </c>
      <c r="E81" s="4">
        <v>900219834</v>
      </c>
      <c r="F81" s="4" t="s">
        <v>439</v>
      </c>
      <c r="G81" s="4">
        <v>901907732</v>
      </c>
      <c r="H81" s="4" t="s">
        <v>440</v>
      </c>
      <c r="I81" s="6">
        <v>7800</v>
      </c>
      <c r="J81" s="6">
        <v>0</v>
      </c>
      <c r="K81" s="6">
        <v>0</v>
      </c>
      <c r="L81" s="6">
        <v>0</v>
      </c>
      <c r="M81" s="6">
        <v>0</v>
      </c>
      <c r="N81" s="6">
        <v>7800</v>
      </c>
    </row>
    <row r="82" spans="1:15" x14ac:dyDescent="0.2">
      <c r="A82" s="4" t="s">
        <v>14</v>
      </c>
      <c r="B82" s="4" t="s">
        <v>547</v>
      </c>
      <c r="C82" s="4">
        <v>206735</v>
      </c>
      <c r="D82" s="5">
        <v>45983</v>
      </c>
      <c r="E82" s="4">
        <v>890941794</v>
      </c>
      <c r="F82" s="4" t="s">
        <v>515</v>
      </c>
      <c r="G82" s="4">
        <v>901907732</v>
      </c>
      <c r="H82" s="4" t="s">
        <v>16</v>
      </c>
      <c r="I82" s="6">
        <v>18280</v>
      </c>
      <c r="J82" s="6">
        <v>3473.2</v>
      </c>
      <c r="K82" s="6">
        <v>0</v>
      </c>
      <c r="L82" s="6">
        <v>0</v>
      </c>
      <c r="M82" s="6">
        <v>0</v>
      </c>
      <c r="N82" s="6">
        <v>21753.200000000001</v>
      </c>
    </row>
    <row r="83" spans="1:15" x14ac:dyDescent="0.2">
      <c r="A83" s="4" t="s">
        <v>14</v>
      </c>
      <c r="B83" s="4" t="s">
        <v>548</v>
      </c>
      <c r="C83" s="4">
        <v>160356228</v>
      </c>
      <c r="D83" s="5">
        <v>45983</v>
      </c>
      <c r="E83" s="4">
        <v>830114921</v>
      </c>
      <c r="F83" s="4" t="s">
        <v>459</v>
      </c>
      <c r="G83" s="4">
        <v>901907732</v>
      </c>
      <c r="H83" s="4" t="s">
        <v>460</v>
      </c>
      <c r="I83" s="6">
        <v>97975.78</v>
      </c>
      <c r="J83" s="6">
        <v>18615.39</v>
      </c>
      <c r="K83" s="6">
        <v>0</v>
      </c>
      <c r="L83" s="6">
        <v>1848.83</v>
      </c>
      <c r="M83" s="6">
        <v>0</v>
      </c>
      <c r="N83" s="6">
        <v>118440</v>
      </c>
    </row>
    <row r="84" spans="1:15" x14ac:dyDescent="0.2">
      <c r="A84" s="4" t="s">
        <v>14</v>
      </c>
      <c r="B84" s="4" t="s">
        <v>549</v>
      </c>
      <c r="C84" s="4">
        <v>13050</v>
      </c>
      <c r="D84" s="5">
        <v>45982</v>
      </c>
      <c r="E84" s="4">
        <v>700108357</v>
      </c>
      <c r="F84" s="4" t="s">
        <v>470</v>
      </c>
      <c r="G84" s="4">
        <v>901907732</v>
      </c>
      <c r="H84" s="4" t="s">
        <v>471</v>
      </c>
      <c r="I84" s="6">
        <v>215000</v>
      </c>
      <c r="J84" s="6">
        <v>0</v>
      </c>
      <c r="K84" s="6">
        <v>0</v>
      </c>
      <c r="L84" s="6">
        <v>0</v>
      </c>
      <c r="M84" s="6">
        <v>0</v>
      </c>
      <c r="N84" s="6">
        <v>215000</v>
      </c>
      <c r="O84" s="16">
        <f>+I84*3.5%</f>
        <v>7525.0000000000009</v>
      </c>
    </row>
    <row r="85" spans="1:15" x14ac:dyDescent="0.2">
      <c r="A85" s="4" t="s">
        <v>14</v>
      </c>
      <c r="B85" s="4" t="s">
        <v>550</v>
      </c>
      <c r="C85" s="4">
        <v>230429</v>
      </c>
      <c r="D85" s="5">
        <v>45982</v>
      </c>
      <c r="E85" s="4">
        <v>900276962</v>
      </c>
      <c r="F85" s="4" t="s">
        <v>551</v>
      </c>
      <c r="G85" s="4">
        <v>901907732</v>
      </c>
      <c r="H85" s="4" t="s">
        <v>552</v>
      </c>
      <c r="I85" s="6">
        <v>73903.360000000001</v>
      </c>
      <c r="J85" s="6">
        <v>12806.63</v>
      </c>
      <c r="K85" s="6">
        <v>0</v>
      </c>
      <c r="L85" s="6">
        <v>0</v>
      </c>
      <c r="M85" s="6">
        <v>0</v>
      </c>
      <c r="N85" s="6">
        <v>86709.99</v>
      </c>
    </row>
    <row r="86" spans="1:15" x14ac:dyDescent="0.2">
      <c r="A86" s="4" t="s">
        <v>14</v>
      </c>
      <c r="B86" s="4" t="s">
        <v>553</v>
      </c>
      <c r="C86" s="4">
        <v>160205561</v>
      </c>
      <c r="D86" s="5">
        <v>45982</v>
      </c>
      <c r="E86" s="4">
        <v>830114921</v>
      </c>
      <c r="F86" s="4" t="s">
        <v>459</v>
      </c>
      <c r="G86" s="4">
        <v>901907732</v>
      </c>
      <c r="H86" s="4" t="s">
        <v>462</v>
      </c>
      <c r="I86" s="6">
        <v>10.94</v>
      </c>
      <c r="J86" s="6">
        <v>2.06</v>
      </c>
      <c r="K86" s="6">
        <v>0</v>
      </c>
      <c r="L86" s="6">
        <v>0</v>
      </c>
      <c r="M86" s="6">
        <v>0</v>
      </c>
      <c r="N86" s="6">
        <v>13</v>
      </c>
    </row>
    <row r="87" spans="1:15" x14ac:dyDescent="0.2">
      <c r="A87" s="4" t="s">
        <v>14</v>
      </c>
      <c r="B87" s="4" t="s">
        <v>554</v>
      </c>
      <c r="C87" s="4">
        <v>160205433</v>
      </c>
      <c r="D87" s="5">
        <v>45981</v>
      </c>
      <c r="E87" s="4">
        <v>830114921</v>
      </c>
      <c r="F87" s="4" t="s">
        <v>459</v>
      </c>
      <c r="G87" s="4">
        <v>901907732</v>
      </c>
      <c r="H87" s="4" t="s">
        <v>464</v>
      </c>
      <c r="I87" s="6">
        <v>68529.850000000006</v>
      </c>
      <c r="J87" s="6">
        <v>13020.61</v>
      </c>
      <c r="K87" s="6">
        <v>0</v>
      </c>
      <c r="L87" s="6">
        <v>1188.54</v>
      </c>
      <c r="M87" s="6">
        <v>0</v>
      </c>
      <c r="N87" s="6">
        <v>82739</v>
      </c>
    </row>
    <row r="88" spans="1:15" x14ac:dyDescent="0.2">
      <c r="A88" s="4" t="s">
        <v>14</v>
      </c>
      <c r="B88" s="4" t="s">
        <v>555</v>
      </c>
      <c r="C88" s="4">
        <v>585267</v>
      </c>
      <c r="D88" s="5">
        <v>45981</v>
      </c>
      <c r="E88" s="4">
        <v>800091549</v>
      </c>
      <c r="F88" s="4" t="s">
        <v>408</v>
      </c>
      <c r="G88" s="4">
        <v>901907732</v>
      </c>
      <c r="H88" s="4" t="s">
        <v>427</v>
      </c>
      <c r="I88" s="6">
        <v>1526740</v>
      </c>
      <c r="J88" s="6">
        <v>0</v>
      </c>
      <c r="K88" s="6">
        <v>0</v>
      </c>
      <c r="L88" s="6">
        <v>0</v>
      </c>
      <c r="M88" s="6">
        <v>0</v>
      </c>
      <c r="N88" s="6">
        <v>1526740</v>
      </c>
    </row>
    <row r="89" spans="1:15" x14ac:dyDescent="0.2">
      <c r="A89" s="4" t="s">
        <v>14</v>
      </c>
      <c r="B89" s="4" t="s">
        <v>556</v>
      </c>
      <c r="C89" s="4">
        <v>206405</v>
      </c>
      <c r="D89" s="5">
        <v>45981</v>
      </c>
      <c r="E89" s="4">
        <v>890941794</v>
      </c>
      <c r="F89" s="4" t="s">
        <v>515</v>
      </c>
      <c r="G89" s="4">
        <v>901907732</v>
      </c>
      <c r="H89" s="4" t="s">
        <v>16</v>
      </c>
      <c r="I89" s="6">
        <v>186920</v>
      </c>
      <c r="J89" s="6">
        <v>35514.800000000003</v>
      </c>
      <c r="K89" s="6">
        <v>0</v>
      </c>
      <c r="L89" s="6">
        <v>0</v>
      </c>
      <c r="M89" s="6">
        <v>0</v>
      </c>
      <c r="N89" s="6">
        <v>222434.8</v>
      </c>
    </row>
    <row r="90" spans="1:15" x14ac:dyDescent="0.2">
      <c r="A90" s="4" t="s">
        <v>14</v>
      </c>
      <c r="B90" s="4" t="s">
        <v>557</v>
      </c>
      <c r="C90" s="4">
        <v>117010</v>
      </c>
      <c r="D90" s="5">
        <v>45980</v>
      </c>
      <c r="E90" s="4">
        <v>900584970</v>
      </c>
      <c r="F90" s="4" t="s">
        <v>501</v>
      </c>
      <c r="G90" s="4">
        <v>901907732</v>
      </c>
      <c r="H90" s="4" t="s">
        <v>16</v>
      </c>
      <c r="I90" s="6">
        <v>1305255</v>
      </c>
      <c r="J90" s="6">
        <v>247998</v>
      </c>
      <c r="K90" s="6">
        <v>0</v>
      </c>
      <c r="L90" s="6">
        <v>0</v>
      </c>
      <c r="M90" s="6">
        <v>0</v>
      </c>
      <c r="N90" s="6">
        <v>1553253</v>
      </c>
      <c r="O90" s="16">
        <f>+I90*2.5%</f>
        <v>32631.375</v>
      </c>
    </row>
    <row r="91" spans="1:15" x14ac:dyDescent="0.2">
      <c r="A91" s="4" t="s">
        <v>14</v>
      </c>
      <c r="B91" s="4" t="s">
        <v>558</v>
      </c>
      <c r="C91" s="4">
        <v>195378</v>
      </c>
      <c r="D91" s="5">
        <v>45980</v>
      </c>
      <c r="E91" s="4">
        <v>901192317</v>
      </c>
      <c r="F91" s="4" t="s">
        <v>492</v>
      </c>
      <c r="G91" s="4">
        <v>901907732</v>
      </c>
      <c r="H91" s="4" t="s">
        <v>16</v>
      </c>
      <c r="I91" s="6">
        <v>251462.21000000002</v>
      </c>
      <c r="J91" s="6">
        <v>47778</v>
      </c>
      <c r="K91" s="6">
        <v>0</v>
      </c>
      <c r="L91" s="6">
        <v>0</v>
      </c>
      <c r="M91" s="6">
        <v>0</v>
      </c>
      <c r="N91" s="6">
        <v>299240.21000000002</v>
      </c>
    </row>
    <row r="92" spans="1:15" x14ac:dyDescent="0.2">
      <c r="A92" s="4" t="s">
        <v>14</v>
      </c>
      <c r="B92" s="4" t="s">
        <v>559</v>
      </c>
      <c r="C92" s="4">
        <v>105013749</v>
      </c>
      <c r="D92" s="5">
        <v>45980</v>
      </c>
      <c r="E92" s="4">
        <v>900059238</v>
      </c>
      <c r="F92" s="4" t="s">
        <v>560</v>
      </c>
      <c r="G92" s="4">
        <v>901907732</v>
      </c>
      <c r="H92" s="4" t="s">
        <v>561</v>
      </c>
      <c r="I92" s="6">
        <v>106890.72</v>
      </c>
      <c r="J92" s="6">
        <v>20309.28</v>
      </c>
      <c r="K92" s="6">
        <v>0</v>
      </c>
      <c r="L92" s="6">
        <v>0</v>
      </c>
      <c r="M92" s="6">
        <v>0</v>
      </c>
      <c r="N92" s="6">
        <v>127200</v>
      </c>
    </row>
    <row r="93" spans="1:15" x14ac:dyDescent="0.2">
      <c r="A93" s="4" t="s">
        <v>14</v>
      </c>
      <c r="B93" s="4" t="s">
        <v>562</v>
      </c>
      <c r="C93" s="4">
        <v>109810</v>
      </c>
      <c r="D93" s="5">
        <v>45980</v>
      </c>
      <c r="E93" s="4">
        <v>901237330</v>
      </c>
      <c r="F93" s="4" t="s">
        <v>545</v>
      </c>
      <c r="G93" s="4">
        <v>901907732</v>
      </c>
      <c r="H93" s="4" t="s">
        <v>16</v>
      </c>
      <c r="I93" s="6">
        <v>213193.2</v>
      </c>
      <c r="J93" s="6">
        <v>40506.71</v>
      </c>
      <c r="K93" s="6">
        <v>0</v>
      </c>
      <c r="L93" s="6">
        <v>0</v>
      </c>
      <c r="M93" s="6">
        <v>0</v>
      </c>
      <c r="N93" s="6">
        <v>253699.91</v>
      </c>
    </row>
    <row r="94" spans="1:15" x14ac:dyDescent="0.2">
      <c r="A94" s="4" t="s">
        <v>14</v>
      </c>
      <c r="B94" s="4" t="s">
        <v>563</v>
      </c>
      <c r="C94" s="4">
        <v>109777</v>
      </c>
      <c r="D94" s="5">
        <v>45980</v>
      </c>
      <c r="E94" s="4">
        <v>901237330</v>
      </c>
      <c r="F94" s="4" t="s">
        <v>545</v>
      </c>
      <c r="G94" s="4">
        <v>901907732</v>
      </c>
      <c r="H94" s="4" t="s">
        <v>16</v>
      </c>
      <c r="I94" s="6">
        <v>99915.97</v>
      </c>
      <c r="J94" s="6">
        <v>18984.03</v>
      </c>
      <c r="K94" s="6">
        <v>0</v>
      </c>
      <c r="L94" s="6">
        <v>0</v>
      </c>
      <c r="M94" s="6">
        <v>0</v>
      </c>
      <c r="N94" s="6">
        <v>118900</v>
      </c>
    </row>
    <row r="95" spans="1:15" x14ac:dyDescent="0.2">
      <c r="A95" s="4" t="s">
        <v>14</v>
      </c>
      <c r="B95" s="4" t="s">
        <v>564</v>
      </c>
      <c r="C95" s="4">
        <v>6607</v>
      </c>
      <c r="D95" s="5">
        <v>45980</v>
      </c>
      <c r="E95" s="4">
        <v>70780282</v>
      </c>
      <c r="F95" s="4" t="s">
        <v>565</v>
      </c>
      <c r="G95" s="4">
        <v>901907732</v>
      </c>
      <c r="H95" s="4" t="s">
        <v>16</v>
      </c>
      <c r="I95" s="6">
        <v>16000</v>
      </c>
      <c r="J95" s="6">
        <v>0</v>
      </c>
      <c r="K95" s="6">
        <v>0</v>
      </c>
      <c r="L95" s="6">
        <v>0</v>
      </c>
      <c r="M95" s="6">
        <v>0</v>
      </c>
      <c r="N95" s="6">
        <v>16000</v>
      </c>
    </row>
    <row r="96" spans="1:15" x14ac:dyDescent="0.2">
      <c r="A96" s="4" t="s">
        <v>14</v>
      </c>
      <c r="B96" s="4" t="s">
        <v>566</v>
      </c>
      <c r="C96" s="4">
        <v>143188</v>
      </c>
      <c r="D96" s="5">
        <v>45980</v>
      </c>
      <c r="E96" s="4">
        <v>811000784</v>
      </c>
      <c r="F96" s="4" t="s">
        <v>456</v>
      </c>
      <c r="G96" s="4">
        <v>901907732</v>
      </c>
      <c r="H96" s="4" t="s">
        <v>457</v>
      </c>
      <c r="I96" s="6">
        <v>104201.68</v>
      </c>
      <c r="J96" s="6">
        <v>19798.32</v>
      </c>
      <c r="K96" s="6">
        <v>0</v>
      </c>
      <c r="L96" s="6">
        <v>0</v>
      </c>
      <c r="M96" s="6">
        <v>0</v>
      </c>
      <c r="N96" s="6">
        <v>124000</v>
      </c>
    </row>
    <row r="97" spans="1:15" x14ac:dyDescent="0.2">
      <c r="A97" s="4" t="s">
        <v>14</v>
      </c>
      <c r="B97" s="4" t="s">
        <v>567</v>
      </c>
      <c r="C97" s="4">
        <v>30287</v>
      </c>
      <c r="D97" s="5">
        <v>45980</v>
      </c>
      <c r="E97" s="4">
        <v>900459737</v>
      </c>
      <c r="F97" s="4" t="s">
        <v>568</v>
      </c>
      <c r="G97" s="4">
        <v>901907732</v>
      </c>
      <c r="H97" s="4" t="s">
        <v>16</v>
      </c>
      <c r="I97" s="6">
        <v>225686</v>
      </c>
      <c r="J97" s="6">
        <v>0</v>
      </c>
      <c r="K97" s="6">
        <v>0</v>
      </c>
      <c r="L97" s="6">
        <v>0</v>
      </c>
      <c r="M97" s="6">
        <v>0</v>
      </c>
      <c r="N97" s="6">
        <v>225686</v>
      </c>
    </row>
    <row r="98" spans="1:15" x14ac:dyDescent="0.2">
      <c r="A98" s="4" t="s">
        <v>14</v>
      </c>
      <c r="B98" s="4" t="s">
        <v>569</v>
      </c>
      <c r="C98" s="4">
        <v>8282539</v>
      </c>
      <c r="D98" s="5">
        <v>45978</v>
      </c>
      <c r="E98" s="4">
        <v>900219834</v>
      </c>
      <c r="F98" s="4" t="s">
        <v>439</v>
      </c>
      <c r="G98" s="4">
        <v>901907732</v>
      </c>
      <c r="H98" s="4" t="s">
        <v>444</v>
      </c>
      <c r="I98" s="6">
        <v>3361.34</v>
      </c>
      <c r="J98" s="6">
        <v>638.66</v>
      </c>
      <c r="K98" s="6">
        <v>0</v>
      </c>
      <c r="L98" s="6">
        <v>0</v>
      </c>
      <c r="M98" s="6">
        <v>0</v>
      </c>
      <c r="N98" s="6">
        <v>4000</v>
      </c>
    </row>
    <row r="99" spans="1:15" x14ac:dyDescent="0.2">
      <c r="A99" s="4" t="s">
        <v>14</v>
      </c>
      <c r="B99" s="4" t="s">
        <v>570</v>
      </c>
      <c r="C99" s="4">
        <v>270895</v>
      </c>
      <c r="D99" s="5">
        <v>45977</v>
      </c>
      <c r="E99" s="4">
        <v>900188685</v>
      </c>
      <c r="F99" s="4" t="s">
        <v>536</v>
      </c>
      <c r="G99" s="4">
        <v>901907732</v>
      </c>
      <c r="H99" s="4" t="s">
        <v>16</v>
      </c>
      <c r="I99" s="6">
        <v>133395</v>
      </c>
      <c r="J99" s="6">
        <v>25345.05</v>
      </c>
      <c r="K99" s="6">
        <v>0</v>
      </c>
      <c r="L99" s="6">
        <v>0</v>
      </c>
      <c r="M99" s="6">
        <v>0</v>
      </c>
      <c r="N99" s="6">
        <v>158740.04999999999</v>
      </c>
    </row>
    <row r="100" spans="1:15" x14ac:dyDescent="0.2">
      <c r="A100" s="4" t="s">
        <v>14</v>
      </c>
      <c r="B100" s="4" t="s">
        <v>571</v>
      </c>
      <c r="C100" s="4">
        <v>13030</v>
      </c>
      <c r="D100" s="5">
        <v>45975</v>
      </c>
      <c r="E100" s="4">
        <v>700108357</v>
      </c>
      <c r="F100" s="4" t="s">
        <v>470</v>
      </c>
      <c r="G100" s="4">
        <v>901907732</v>
      </c>
      <c r="H100" s="4" t="s">
        <v>471</v>
      </c>
      <c r="I100" s="6">
        <v>276000</v>
      </c>
      <c r="J100" s="6">
        <v>0</v>
      </c>
      <c r="K100" s="6">
        <v>0</v>
      </c>
      <c r="L100" s="6">
        <v>0</v>
      </c>
      <c r="M100" s="6">
        <v>0</v>
      </c>
      <c r="N100" s="6">
        <v>276000</v>
      </c>
      <c r="O100" s="16">
        <f>+I100*3.5%</f>
        <v>9660.0000000000018</v>
      </c>
    </row>
    <row r="101" spans="1:15" x14ac:dyDescent="0.2">
      <c r="A101" s="4" t="s">
        <v>14</v>
      </c>
      <c r="B101" s="4" t="s">
        <v>572</v>
      </c>
      <c r="C101" s="4">
        <v>110013947</v>
      </c>
      <c r="D101" s="5">
        <v>45975</v>
      </c>
      <c r="E101" s="4">
        <v>900059238</v>
      </c>
      <c r="F101" s="4" t="s">
        <v>560</v>
      </c>
      <c r="G101" s="4">
        <v>901907732</v>
      </c>
      <c r="H101" s="4" t="s">
        <v>561</v>
      </c>
      <c r="I101" s="6">
        <v>42848.729999999996</v>
      </c>
      <c r="J101" s="6">
        <v>8141.27</v>
      </c>
      <c r="K101" s="6">
        <v>0</v>
      </c>
      <c r="L101" s="6">
        <v>0</v>
      </c>
      <c r="M101" s="6">
        <v>0</v>
      </c>
      <c r="N101" s="6">
        <v>50990</v>
      </c>
    </row>
    <row r="102" spans="1:15" x14ac:dyDescent="0.2">
      <c r="A102" s="4" t="s">
        <v>14</v>
      </c>
      <c r="B102" s="4" t="s">
        <v>573</v>
      </c>
      <c r="C102" s="4">
        <v>79548</v>
      </c>
      <c r="D102" s="5">
        <v>45975</v>
      </c>
      <c r="E102" s="4">
        <v>830085336</v>
      </c>
      <c r="F102" s="4" t="s">
        <v>449</v>
      </c>
      <c r="G102" s="4">
        <v>901907732</v>
      </c>
      <c r="H102" s="4" t="s">
        <v>450</v>
      </c>
      <c r="I102" s="6">
        <v>145378.15</v>
      </c>
      <c r="J102" s="6">
        <v>27621.84</v>
      </c>
      <c r="K102" s="6">
        <v>0</v>
      </c>
      <c r="L102" s="6">
        <v>0</v>
      </c>
      <c r="M102" s="6">
        <v>0</v>
      </c>
      <c r="N102" s="6">
        <v>172999.99</v>
      </c>
    </row>
    <row r="103" spans="1:15" x14ac:dyDescent="0.2">
      <c r="A103" s="4" t="s">
        <v>14</v>
      </c>
      <c r="B103" s="4" t="s">
        <v>574</v>
      </c>
      <c r="C103" s="4">
        <v>11797</v>
      </c>
      <c r="D103" s="5">
        <v>45975</v>
      </c>
      <c r="E103" s="4">
        <v>901476410</v>
      </c>
      <c r="F103" s="4" t="s">
        <v>473</v>
      </c>
      <c r="G103" s="4">
        <v>901907732</v>
      </c>
      <c r="H103" s="4" t="s">
        <v>16</v>
      </c>
      <c r="I103" s="6">
        <v>1537815</v>
      </c>
      <c r="J103" s="6">
        <v>292185</v>
      </c>
      <c r="K103" s="6">
        <v>0</v>
      </c>
      <c r="L103" s="6">
        <v>0</v>
      </c>
      <c r="M103" s="6">
        <v>0</v>
      </c>
      <c r="N103" s="6">
        <v>1830000</v>
      </c>
      <c r="O103" s="16">
        <f>+I103*2.5%</f>
        <v>38445.375</v>
      </c>
    </row>
    <row r="104" spans="1:15" x14ac:dyDescent="0.2">
      <c r="A104" s="4" t="s">
        <v>14</v>
      </c>
      <c r="B104" s="4" t="s">
        <v>575</v>
      </c>
      <c r="C104" s="4">
        <v>2439</v>
      </c>
      <c r="D104" s="5">
        <v>45975</v>
      </c>
      <c r="E104" s="4">
        <v>800157387</v>
      </c>
      <c r="F104" s="4" t="s">
        <v>576</v>
      </c>
      <c r="G104" s="4">
        <v>901907732</v>
      </c>
      <c r="H104" s="4" t="s">
        <v>16</v>
      </c>
      <c r="I104" s="6">
        <v>38133.33</v>
      </c>
      <c r="J104" s="6">
        <v>0</v>
      </c>
      <c r="K104" s="6">
        <v>0</v>
      </c>
      <c r="L104" s="6">
        <v>1466.67</v>
      </c>
      <c r="M104" s="6">
        <v>0</v>
      </c>
      <c r="N104" s="6">
        <v>39600</v>
      </c>
    </row>
    <row r="105" spans="1:15" x14ac:dyDescent="0.2">
      <c r="A105" s="4" t="s">
        <v>14</v>
      </c>
      <c r="B105" s="4" t="s">
        <v>577</v>
      </c>
      <c r="C105" s="4">
        <v>583620</v>
      </c>
      <c r="D105" s="5">
        <v>45974</v>
      </c>
      <c r="E105" s="4">
        <v>800091549</v>
      </c>
      <c r="F105" s="4" t="s">
        <v>408</v>
      </c>
      <c r="G105" s="4">
        <v>901907732</v>
      </c>
      <c r="H105" s="4" t="s">
        <v>427</v>
      </c>
      <c r="I105" s="6">
        <v>460476</v>
      </c>
      <c r="J105" s="6">
        <v>0</v>
      </c>
      <c r="K105" s="6">
        <v>0</v>
      </c>
      <c r="L105" s="6">
        <v>0</v>
      </c>
      <c r="M105" s="6">
        <v>0</v>
      </c>
      <c r="N105" s="6">
        <v>460476</v>
      </c>
    </row>
    <row r="106" spans="1:15" x14ac:dyDescent="0.2">
      <c r="A106" s="4" t="s">
        <v>14</v>
      </c>
      <c r="B106" s="4" t="s">
        <v>578</v>
      </c>
      <c r="C106" s="4">
        <v>194725</v>
      </c>
      <c r="D106" s="5">
        <v>45974</v>
      </c>
      <c r="E106" s="4">
        <v>901192317</v>
      </c>
      <c r="F106" s="4" t="s">
        <v>492</v>
      </c>
      <c r="G106" s="4">
        <v>901907732</v>
      </c>
      <c r="H106" s="4" t="s">
        <v>16</v>
      </c>
      <c r="I106" s="6">
        <v>479747.12</v>
      </c>
      <c r="J106" s="6">
        <v>91153</v>
      </c>
      <c r="K106" s="6">
        <v>0</v>
      </c>
      <c r="L106" s="6">
        <v>0</v>
      </c>
      <c r="M106" s="6">
        <v>0</v>
      </c>
      <c r="N106" s="6">
        <v>570900.12</v>
      </c>
    </row>
    <row r="107" spans="1:15" x14ac:dyDescent="0.2">
      <c r="A107" s="4" t="s">
        <v>14</v>
      </c>
      <c r="B107" s="4" t="s">
        <v>579</v>
      </c>
      <c r="C107" s="4">
        <v>194722</v>
      </c>
      <c r="D107" s="5">
        <v>45974</v>
      </c>
      <c r="E107" s="4">
        <v>901192317</v>
      </c>
      <c r="F107" s="4" t="s">
        <v>492</v>
      </c>
      <c r="G107" s="4">
        <v>901907732</v>
      </c>
      <c r="H107" s="4" t="s">
        <v>16</v>
      </c>
      <c r="I107" s="6">
        <v>1602896.93</v>
      </c>
      <c r="J107" s="6">
        <v>304551</v>
      </c>
      <c r="K107" s="6">
        <v>0</v>
      </c>
      <c r="L107" s="6">
        <v>0</v>
      </c>
      <c r="M107" s="6">
        <v>0</v>
      </c>
      <c r="N107" s="6">
        <v>1907447.93</v>
      </c>
      <c r="O107" s="16">
        <f t="shared" ref="O107" si="0">+I107*2.5%</f>
        <v>40072.42325</v>
      </c>
    </row>
    <row r="108" spans="1:15" x14ac:dyDescent="0.2">
      <c r="A108" s="4" t="s">
        <v>14</v>
      </c>
      <c r="B108" s="4" t="s">
        <v>580</v>
      </c>
      <c r="C108" s="4">
        <v>336260</v>
      </c>
      <c r="D108" s="5">
        <v>45974</v>
      </c>
      <c r="E108" s="4">
        <v>900471052</v>
      </c>
      <c r="F108" s="4" t="s">
        <v>498</v>
      </c>
      <c r="G108" s="4">
        <v>901907732</v>
      </c>
      <c r="H108" s="4" t="s">
        <v>499</v>
      </c>
      <c r="I108" s="6">
        <v>69900</v>
      </c>
      <c r="J108" s="6">
        <v>0</v>
      </c>
      <c r="K108" s="6">
        <v>0</v>
      </c>
      <c r="L108" s="6">
        <v>0</v>
      </c>
      <c r="M108" s="6">
        <v>0</v>
      </c>
      <c r="N108" s="6">
        <v>69900</v>
      </c>
    </row>
    <row r="109" spans="1:15" x14ac:dyDescent="0.2">
      <c r="A109" s="4" t="s">
        <v>14</v>
      </c>
      <c r="B109" s="4" t="s">
        <v>581</v>
      </c>
      <c r="C109" s="4">
        <v>32014</v>
      </c>
      <c r="D109" s="5">
        <v>45974</v>
      </c>
      <c r="E109" s="4">
        <v>901161479</v>
      </c>
      <c r="F109" s="4" t="s">
        <v>476</v>
      </c>
      <c r="G109" s="4">
        <v>901907732</v>
      </c>
      <c r="H109" s="4" t="s">
        <v>16</v>
      </c>
      <c r="I109" s="6">
        <v>1485980</v>
      </c>
      <c r="J109" s="6">
        <v>282336.2</v>
      </c>
      <c r="K109" s="6">
        <v>0</v>
      </c>
      <c r="L109" s="6">
        <v>0</v>
      </c>
      <c r="M109" s="6">
        <v>0</v>
      </c>
      <c r="N109" s="6">
        <v>1768316.2</v>
      </c>
    </row>
    <row r="110" spans="1:15" x14ac:dyDescent="0.2">
      <c r="A110" s="4" t="s">
        <v>14</v>
      </c>
      <c r="B110" s="4" t="s">
        <v>582</v>
      </c>
      <c r="C110" s="4">
        <v>582928</v>
      </c>
      <c r="D110" s="5">
        <v>45973</v>
      </c>
      <c r="E110" s="4">
        <v>800091549</v>
      </c>
      <c r="F110" s="4" t="s">
        <v>408</v>
      </c>
      <c r="G110" s="4">
        <v>901907732</v>
      </c>
      <c r="H110" s="4" t="s">
        <v>427</v>
      </c>
      <c r="I110" s="6">
        <v>746734</v>
      </c>
      <c r="J110" s="6">
        <v>0</v>
      </c>
      <c r="K110" s="6">
        <v>0</v>
      </c>
      <c r="L110" s="6">
        <v>0</v>
      </c>
      <c r="M110" s="6">
        <v>0</v>
      </c>
      <c r="N110" s="6">
        <v>746734</v>
      </c>
    </row>
    <row r="111" spans="1:15" x14ac:dyDescent="0.2">
      <c r="A111" s="4" t="s">
        <v>14</v>
      </c>
      <c r="B111" s="4" t="s">
        <v>583</v>
      </c>
      <c r="C111" s="4">
        <v>582927</v>
      </c>
      <c r="D111" s="5">
        <v>45973</v>
      </c>
      <c r="E111" s="4">
        <v>800091549</v>
      </c>
      <c r="F111" s="4" t="s">
        <v>408</v>
      </c>
      <c r="G111" s="4">
        <v>901907732</v>
      </c>
      <c r="H111" s="4" t="s">
        <v>427</v>
      </c>
      <c r="I111" s="6">
        <v>440474</v>
      </c>
      <c r="J111" s="6">
        <v>0</v>
      </c>
      <c r="K111" s="6">
        <v>0</v>
      </c>
      <c r="L111" s="6">
        <v>0</v>
      </c>
      <c r="M111" s="6">
        <v>0</v>
      </c>
      <c r="N111" s="6">
        <v>440474</v>
      </c>
    </row>
    <row r="112" spans="1:15" x14ac:dyDescent="0.2">
      <c r="A112" s="4" t="s">
        <v>14</v>
      </c>
      <c r="B112" s="4" t="s">
        <v>584</v>
      </c>
      <c r="C112" s="4">
        <v>582926</v>
      </c>
      <c r="D112" s="5">
        <v>45973</v>
      </c>
      <c r="E112" s="4">
        <v>800091549</v>
      </c>
      <c r="F112" s="4" t="s">
        <v>408</v>
      </c>
      <c r="G112" s="4">
        <v>901907732</v>
      </c>
      <c r="H112" s="4" t="s">
        <v>427</v>
      </c>
      <c r="I112" s="6">
        <v>22746</v>
      </c>
      <c r="J112" s="6">
        <v>0</v>
      </c>
      <c r="K112" s="6">
        <v>0</v>
      </c>
      <c r="L112" s="6">
        <v>0</v>
      </c>
      <c r="M112" s="6">
        <v>0</v>
      </c>
      <c r="N112" s="6">
        <v>22746</v>
      </c>
    </row>
    <row r="113" spans="1:15" x14ac:dyDescent="0.2">
      <c r="A113" s="4" t="s">
        <v>14</v>
      </c>
      <c r="B113" s="4" t="s">
        <v>585</v>
      </c>
      <c r="C113" s="4">
        <v>582858</v>
      </c>
      <c r="D113" s="5">
        <v>45973</v>
      </c>
      <c r="E113" s="4">
        <v>800091549</v>
      </c>
      <c r="F113" s="4" t="s">
        <v>408</v>
      </c>
      <c r="G113" s="4">
        <v>901907732</v>
      </c>
      <c r="H113" s="4" t="s">
        <v>427</v>
      </c>
      <c r="I113" s="6">
        <v>817866</v>
      </c>
      <c r="J113" s="6">
        <v>0</v>
      </c>
      <c r="K113" s="6">
        <v>0</v>
      </c>
      <c r="L113" s="6">
        <v>0</v>
      </c>
      <c r="M113" s="6">
        <v>0</v>
      </c>
      <c r="N113" s="6">
        <v>817866</v>
      </c>
    </row>
    <row r="114" spans="1:15" x14ac:dyDescent="0.2">
      <c r="A114" s="4" t="s">
        <v>14</v>
      </c>
      <c r="B114" s="4" t="s">
        <v>586</v>
      </c>
      <c r="C114" s="4">
        <v>582856</v>
      </c>
      <c r="D114" s="5">
        <v>45973</v>
      </c>
      <c r="E114" s="4">
        <v>800091549</v>
      </c>
      <c r="F114" s="4" t="s">
        <v>408</v>
      </c>
      <c r="G114" s="4">
        <v>901907732</v>
      </c>
      <c r="H114" s="4" t="s">
        <v>427</v>
      </c>
      <c r="I114" s="6">
        <v>304745</v>
      </c>
      <c r="J114" s="6">
        <v>0</v>
      </c>
      <c r="K114" s="6">
        <v>0</v>
      </c>
      <c r="L114" s="6">
        <v>0</v>
      </c>
      <c r="M114" s="6">
        <v>0</v>
      </c>
      <c r="N114" s="6">
        <v>304745</v>
      </c>
    </row>
    <row r="115" spans="1:15" x14ac:dyDescent="0.2">
      <c r="A115" s="4" t="s">
        <v>14</v>
      </c>
      <c r="B115" s="4" t="s">
        <v>587</v>
      </c>
      <c r="C115" s="4">
        <v>582855</v>
      </c>
      <c r="D115" s="5">
        <v>45973</v>
      </c>
      <c r="E115" s="4">
        <v>800091549</v>
      </c>
      <c r="F115" s="4" t="s">
        <v>408</v>
      </c>
      <c r="G115" s="4">
        <v>901907732</v>
      </c>
      <c r="H115" s="4" t="s">
        <v>427</v>
      </c>
      <c r="I115" s="6">
        <v>536681</v>
      </c>
      <c r="J115" s="6">
        <v>0</v>
      </c>
      <c r="K115" s="6">
        <v>0</v>
      </c>
      <c r="L115" s="6">
        <v>0</v>
      </c>
      <c r="M115" s="6">
        <v>0</v>
      </c>
      <c r="N115" s="6">
        <v>536681</v>
      </c>
    </row>
    <row r="116" spans="1:15" x14ac:dyDescent="0.2">
      <c r="A116" s="4" t="s">
        <v>14</v>
      </c>
      <c r="B116" s="4" t="s">
        <v>588</v>
      </c>
      <c r="C116" s="4">
        <v>582854</v>
      </c>
      <c r="D116" s="5">
        <v>45973</v>
      </c>
      <c r="E116" s="4">
        <v>800091549</v>
      </c>
      <c r="F116" s="4" t="s">
        <v>408</v>
      </c>
      <c r="G116" s="4">
        <v>901907732</v>
      </c>
      <c r="H116" s="4" t="s">
        <v>427</v>
      </c>
      <c r="I116" s="6">
        <v>224417</v>
      </c>
      <c r="J116" s="6">
        <v>0</v>
      </c>
      <c r="K116" s="6">
        <v>0</v>
      </c>
      <c r="L116" s="6">
        <v>0</v>
      </c>
      <c r="M116" s="6">
        <v>0</v>
      </c>
      <c r="N116" s="6">
        <v>224417</v>
      </c>
    </row>
    <row r="117" spans="1:15" x14ac:dyDescent="0.2">
      <c r="A117" s="4" t="s">
        <v>14</v>
      </c>
      <c r="B117" s="4" t="s">
        <v>589</v>
      </c>
      <c r="C117" s="4">
        <v>582853</v>
      </c>
      <c r="D117" s="5">
        <v>45973</v>
      </c>
      <c r="E117" s="4">
        <v>800091549</v>
      </c>
      <c r="F117" s="4" t="s">
        <v>408</v>
      </c>
      <c r="G117" s="4">
        <v>901907732</v>
      </c>
      <c r="H117" s="4" t="s">
        <v>427</v>
      </c>
      <c r="I117" s="6">
        <v>132738</v>
      </c>
      <c r="J117" s="6">
        <v>0</v>
      </c>
      <c r="K117" s="6">
        <v>0</v>
      </c>
      <c r="L117" s="6">
        <v>0</v>
      </c>
      <c r="M117" s="6">
        <v>0</v>
      </c>
      <c r="N117" s="6">
        <v>132738</v>
      </c>
    </row>
    <row r="118" spans="1:15" x14ac:dyDescent="0.2">
      <c r="A118" s="4" t="s">
        <v>14</v>
      </c>
      <c r="B118" s="4" t="s">
        <v>590</v>
      </c>
      <c r="C118" s="4">
        <v>582852</v>
      </c>
      <c r="D118" s="5">
        <v>45973</v>
      </c>
      <c r="E118" s="4">
        <v>800091549</v>
      </c>
      <c r="F118" s="4" t="s">
        <v>408</v>
      </c>
      <c r="G118" s="4">
        <v>901907732</v>
      </c>
      <c r="H118" s="4" t="s">
        <v>427</v>
      </c>
      <c r="I118" s="6">
        <v>325527</v>
      </c>
      <c r="J118" s="6">
        <v>0</v>
      </c>
      <c r="K118" s="6">
        <v>0</v>
      </c>
      <c r="L118" s="6">
        <v>0</v>
      </c>
      <c r="M118" s="6">
        <v>0</v>
      </c>
      <c r="N118" s="6">
        <v>325527</v>
      </c>
    </row>
    <row r="119" spans="1:15" x14ac:dyDescent="0.2">
      <c r="A119" s="4" t="s">
        <v>14</v>
      </c>
      <c r="B119" s="4" t="s">
        <v>591</v>
      </c>
      <c r="C119" s="4">
        <v>582851</v>
      </c>
      <c r="D119" s="5">
        <v>45973</v>
      </c>
      <c r="E119" s="4">
        <v>800091549</v>
      </c>
      <c r="F119" s="4" t="s">
        <v>408</v>
      </c>
      <c r="G119" s="4">
        <v>901907732</v>
      </c>
      <c r="H119" s="4" t="s">
        <v>427</v>
      </c>
      <c r="I119" s="6">
        <v>3038808</v>
      </c>
      <c r="J119" s="6">
        <v>0</v>
      </c>
      <c r="K119" s="6">
        <v>0</v>
      </c>
      <c r="L119" s="6">
        <v>0</v>
      </c>
      <c r="M119" s="6">
        <v>0</v>
      </c>
      <c r="N119" s="6">
        <v>3038808</v>
      </c>
    </row>
    <row r="120" spans="1:15" x14ac:dyDescent="0.2">
      <c r="A120" s="4" t="s">
        <v>14</v>
      </c>
      <c r="B120" s="4" t="s">
        <v>592</v>
      </c>
      <c r="C120" s="4">
        <v>582849</v>
      </c>
      <c r="D120" s="5">
        <v>45973</v>
      </c>
      <c r="E120" s="4">
        <v>800091549</v>
      </c>
      <c r="F120" s="4" t="s">
        <v>408</v>
      </c>
      <c r="G120" s="4">
        <v>901907732</v>
      </c>
      <c r="H120" s="4" t="s">
        <v>427</v>
      </c>
      <c r="I120" s="6">
        <v>124442</v>
      </c>
      <c r="J120" s="6">
        <v>0</v>
      </c>
      <c r="K120" s="6">
        <v>0</v>
      </c>
      <c r="L120" s="6">
        <v>0</v>
      </c>
      <c r="M120" s="6">
        <v>0</v>
      </c>
      <c r="N120" s="6">
        <v>124442</v>
      </c>
    </row>
    <row r="121" spans="1:15" x14ac:dyDescent="0.2">
      <c r="A121" s="4" t="s">
        <v>14</v>
      </c>
      <c r="B121" s="4" t="s">
        <v>593</v>
      </c>
      <c r="C121" s="4">
        <v>582848</v>
      </c>
      <c r="D121" s="5">
        <v>45973</v>
      </c>
      <c r="E121" s="4">
        <v>800091549</v>
      </c>
      <c r="F121" s="4" t="s">
        <v>408</v>
      </c>
      <c r="G121" s="4">
        <v>901907732</v>
      </c>
      <c r="H121" s="4" t="s">
        <v>427</v>
      </c>
      <c r="I121" s="6">
        <v>790111</v>
      </c>
      <c r="J121" s="6">
        <v>0</v>
      </c>
      <c r="K121" s="6">
        <v>0</v>
      </c>
      <c r="L121" s="6">
        <v>0</v>
      </c>
      <c r="M121" s="6">
        <v>0</v>
      </c>
      <c r="N121" s="6">
        <v>790111</v>
      </c>
    </row>
    <row r="122" spans="1:15" x14ac:dyDescent="0.2">
      <c r="A122" s="4" t="s">
        <v>14</v>
      </c>
      <c r="B122" s="4" t="s">
        <v>594</v>
      </c>
      <c r="C122" s="4">
        <v>10425</v>
      </c>
      <c r="D122" s="5">
        <v>45972</v>
      </c>
      <c r="E122" s="4">
        <v>901098244</v>
      </c>
      <c r="F122" s="4" t="s">
        <v>595</v>
      </c>
      <c r="G122" s="4">
        <v>901907732</v>
      </c>
      <c r="H122" s="4" t="s">
        <v>16</v>
      </c>
      <c r="I122" s="6">
        <v>500000</v>
      </c>
      <c r="J122" s="6">
        <v>0</v>
      </c>
      <c r="K122" s="6">
        <v>0</v>
      </c>
      <c r="L122" s="6">
        <v>0</v>
      </c>
      <c r="M122" s="6">
        <v>0</v>
      </c>
      <c r="N122" s="6">
        <v>500000</v>
      </c>
      <c r="O122" s="16">
        <f>+I122*3.5%</f>
        <v>17500</v>
      </c>
    </row>
    <row r="123" spans="1:15" x14ac:dyDescent="0.2">
      <c r="A123" s="4" t="s">
        <v>14</v>
      </c>
      <c r="B123" s="4" t="s">
        <v>596</v>
      </c>
      <c r="C123" s="4">
        <v>7575</v>
      </c>
      <c r="D123" s="5">
        <v>45972</v>
      </c>
      <c r="E123" s="4">
        <v>901519900</v>
      </c>
      <c r="F123" s="4" t="s">
        <v>467</v>
      </c>
      <c r="G123" s="4">
        <v>901907732</v>
      </c>
      <c r="H123" s="4" t="s">
        <v>16</v>
      </c>
      <c r="I123" s="6">
        <v>17000</v>
      </c>
      <c r="J123" s="6">
        <v>0</v>
      </c>
      <c r="K123" s="6">
        <v>0</v>
      </c>
      <c r="L123" s="6">
        <v>0</v>
      </c>
      <c r="M123" s="6">
        <v>0</v>
      </c>
      <c r="N123" s="6">
        <v>17000</v>
      </c>
    </row>
    <row r="124" spans="1:15" x14ac:dyDescent="0.2">
      <c r="A124" s="4" t="s">
        <v>14</v>
      </c>
      <c r="B124" s="4" t="s">
        <v>597</v>
      </c>
      <c r="C124" s="4">
        <v>158606264</v>
      </c>
      <c r="D124" s="5">
        <v>45972</v>
      </c>
      <c r="E124" s="4">
        <v>830114921</v>
      </c>
      <c r="F124" s="4" t="s">
        <v>459</v>
      </c>
      <c r="G124" s="4">
        <v>901907732</v>
      </c>
      <c r="H124" s="4" t="s">
        <v>460</v>
      </c>
      <c r="I124" s="6">
        <v>49349.23</v>
      </c>
      <c r="J124" s="6">
        <v>9376.35</v>
      </c>
      <c r="K124" s="6">
        <v>0</v>
      </c>
      <c r="L124" s="6">
        <v>924.42</v>
      </c>
      <c r="M124" s="6">
        <v>0</v>
      </c>
      <c r="N124" s="6">
        <v>59650</v>
      </c>
    </row>
    <row r="125" spans="1:15" x14ac:dyDescent="0.2">
      <c r="A125" s="4" t="s">
        <v>14</v>
      </c>
      <c r="B125" s="4" t="s">
        <v>598</v>
      </c>
      <c r="C125" s="4">
        <v>8162041</v>
      </c>
      <c r="D125" s="5">
        <v>45970</v>
      </c>
      <c r="E125" s="4">
        <v>900219834</v>
      </c>
      <c r="F125" s="4" t="s">
        <v>439</v>
      </c>
      <c r="G125" s="4">
        <v>901907732</v>
      </c>
      <c r="H125" s="4" t="s">
        <v>444</v>
      </c>
      <c r="I125" s="6">
        <v>3361.34</v>
      </c>
      <c r="J125" s="6">
        <v>638.66</v>
      </c>
      <c r="K125" s="6">
        <v>0</v>
      </c>
      <c r="L125" s="6">
        <v>0</v>
      </c>
      <c r="M125" s="6">
        <v>0</v>
      </c>
      <c r="N125" s="6">
        <v>4000</v>
      </c>
    </row>
    <row r="126" spans="1:15" x14ac:dyDescent="0.2">
      <c r="A126" s="4" t="s">
        <v>14</v>
      </c>
      <c r="B126" s="4" t="s">
        <v>599</v>
      </c>
      <c r="C126" s="4">
        <v>79326</v>
      </c>
      <c r="D126" s="5">
        <v>45969</v>
      </c>
      <c r="E126" s="4">
        <v>830085336</v>
      </c>
      <c r="F126" s="4" t="s">
        <v>449</v>
      </c>
      <c r="G126" s="4">
        <v>901907732</v>
      </c>
      <c r="H126" s="4" t="s">
        <v>450</v>
      </c>
      <c r="I126" s="6">
        <v>22689.079999999998</v>
      </c>
      <c r="J126" s="6">
        <v>4310.93</v>
      </c>
      <c r="K126" s="6">
        <v>0</v>
      </c>
      <c r="L126" s="6">
        <v>0</v>
      </c>
      <c r="M126" s="6">
        <v>0</v>
      </c>
      <c r="N126" s="6">
        <v>27000.01</v>
      </c>
    </row>
    <row r="127" spans="1:15" x14ac:dyDescent="0.2">
      <c r="A127" s="4" t="s">
        <v>14</v>
      </c>
      <c r="B127" s="4" t="s">
        <v>600</v>
      </c>
      <c r="C127" s="4">
        <v>13003</v>
      </c>
      <c r="D127" s="5">
        <v>45968</v>
      </c>
      <c r="E127" s="4">
        <v>700108357</v>
      </c>
      <c r="F127" s="4" t="s">
        <v>470</v>
      </c>
      <c r="G127" s="4">
        <v>901907732</v>
      </c>
      <c r="H127" s="4" t="s">
        <v>471</v>
      </c>
      <c r="I127" s="6">
        <v>233000</v>
      </c>
      <c r="J127" s="6">
        <v>0</v>
      </c>
      <c r="K127" s="6">
        <v>0</v>
      </c>
      <c r="L127" s="6">
        <v>0</v>
      </c>
      <c r="M127" s="6">
        <v>0</v>
      </c>
      <c r="N127" s="6">
        <v>233000</v>
      </c>
      <c r="O127" s="16">
        <f>+I127*3.5%</f>
        <v>8155.0000000000009</v>
      </c>
    </row>
    <row r="128" spans="1:15" x14ac:dyDescent="0.2">
      <c r="A128" s="4" t="s">
        <v>14</v>
      </c>
      <c r="B128" s="4" t="s">
        <v>601</v>
      </c>
      <c r="C128" s="4">
        <v>11601</v>
      </c>
      <c r="D128" s="5">
        <v>45966</v>
      </c>
      <c r="E128" s="4">
        <v>901476410</v>
      </c>
      <c r="F128" s="4" t="s">
        <v>473</v>
      </c>
      <c r="G128" s="4">
        <v>901907732</v>
      </c>
      <c r="H128" s="4" t="s">
        <v>16</v>
      </c>
      <c r="I128" s="6">
        <v>67227</v>
      </c>
      <c r="J128" s="6">
        <v>12773</v>
      </c>
      <c r="K128" s="6">
        <v>0</v>
      </c>
      <c r="L128" s="6">
        <v>0</v>
      </c>
      <c r="M128" s="6">
        <v>0</v>
      </c>
      <c r="N128" s="6">
        <v>80000</v>
      </c>
      <c r="O128" s="16">
        <f>+I128*2.5%</f>
        <v>1680.6750000000002</v>
      </c>
    </row>
    <row r="129" spans="1:15" x14ac:dyDescent="0.2">
      <c r="A129" s="4" t="s">
        <v>14</v>
      </c>
      <c r="B129" s="4" t="s">
        <v>602</v>
      </c>
      <c r="C129" s="4">
        <v>61989</v>
      </c>
      <c r="D129" s="5">
        <v>45966</v>
      </c>
      <c r="E129" s="4">
        <v>890942360</v>
      </c>
      <c r="F129" s="4" t="s">
        <v>603</v>
      </c>
      <c r="G129" s="4">
        <v>901907732</v>
      </c>
      <c r="H129" s="4" t="s">
        <v>16</v>
      </c>
      <c r="I129" s="6">
        <v>57990.969999999994</v>
      </c>
      <c r="J129" s="6">
        <v>638.65</v>
      </c>
      <c r="K129" s="6">
        <v>0</v>
      </c>
      <c r="L129" s="6">
        <v>4370.37</v>
      </c>
      <c r="M129" s="6">
        <v>0</v>
      </c>
      <c r="N129" s="6">
        <v>62999.99</v>
      </c>
    </row>
    <row r="130" spans="1:15" x14ac:dyDescent="0.2">
      <c r="A130" s="4" t="s">
        <v>14</v>
      </c>
      <c r="B130" s="4" t="s">
        <v>604</v>
      </c>
      <c r="C130" s="4">
        <v>88787</v>
      </c>
      <c r="D130" s="5">
        <v>45966</v>
      </c>
      <c r="E130" s="4">
        <v>900243750</v>
      </c>
      <c r="F130" s="4" t="s">
        <v>605</v>
      </c>
      <c r="G130" s="4">
        <v>901907732</v>
      </c>
      <c r="H130" s="4" t="s">
        <v>16</v>
      </c>
      <c r="I130" s="6">
        <v>199663.59999999998</v>
      </c>
      <c r="J130" s="6">
        <v>34487.39</v>
      </c>
      <c r="K130" s="6">
        <v>0</v>
      </c>
      <c r="L130" s="6">
        <v>0</v>
      </c>
      <c r="M130" s="6">
        <v>0</v>
      </c>
      <c r="N130" s="6">
        <v>234150.99</v>
      </c>
    </row>
    <row r="131" spans="1:15" x14ac:dyDescent="0.2">
      <c r="A131" s="4" t="s">
        <v>14</v>
      </c>
      <c r="B131" s="4" t="s">
        <v>606</v>
      </c>
      <c r="C131" s="4">
        <v>193232</v>
      </c>
      <c r="D131" s="5">
        <v>45966</v>
      </c>
      <c r="E131" s="4">
        <v>901192317</v>
      </c>
      <c r="F131" s="4" t="s">
        <v>492</v>
      </c>
      <c r="G131" s="4">
        <v>901907732</v>
      </c>
      <c r="H131" s="4" t="s">
        <v>16</v>
      </c>
      <c r="I131" s="6">
        <v>3383750.21</v>
      </c>
      <c r="J131" s="6">
        <v>642913</v>
      </c>
      <c r="K131" s="6">
        <v>0</v>
      </c>
      <c r="L131" s="6">
        <v>0</v>
      </c>
      <c r="M131" s="6">
        <v>0</v>
      </c>
      <c r="N131" s="6">
        <v>4026663.21</v>
      </c>
      <c r="O131" s="16">
        <f>+I131*2.5%</f>
        <v>84593.755250000002</v>
      </c>
    </row>
    <row r="132" spans="1:15" x14ac:dyDescent="0.2">
      <c r="A132" s="4" t="s">
        <v>14</v>
      </c>
      <c r="B132" s="4" t="s">
        <v>607</v>
      </c>
      <c r="C132" s="4">
        <v>120009567</v>
      </c>
      <c r="D132" s="5">
        <v>45966</v>
      </c>
      <c r="E132" s="4">
        <v>900059238</v>
      </c>
      <c r="F132" s="4" t="s">
        <v>560</v>
      </c>
      <c r="G132" s="4">
        <v>901907732</v>
      </c>
      <c r="H132" s="4" t="s">
        <v>561</v>
      </c>
      <c r="I132" s="6">
        <v>168378.31</v>
      </c>
      <c r="J132" s="6">
        <v>24838.69</v>
      </c>
      <c r="K132" s="6">
        <v>0</v>
      </c>
      <c r="L132" s="6">
        <v>0</v>
      </c>
      <c r="M132" s="6">
        <v>0</v>
      </c>
      <c r="N132" s="6">
        <v>193217</v>
      </c>
    </row>
    <row r="133" spans="1:15" x14ac:dyDescent="0.2">
      <c r="A133" s="4" t="s">
        <v>14</v>
      </c>
      <c r="B133" s="4" t="s">
        <v>608</v>
      </c>
      <c r="C133" s="4">
        <v>7523</v>
      </c>
      <c r="D133" s="5">
        <v>45966</v>
      </c>
      <c r="E133" s="4">
        <v>900762275</v>
      </c>
      <c r="F133" s="4" t="s">
        <v>532</v>
      </c>
      <c r="G133" s="4">
        <v>901907732</v>
      </c>
      <c r="H133" s="4" t="s">
        <v>16</v>
      </c>
      <c r="I133" s="6">
        <v>257764.82</v>
      </c>
      <c r="J133" s="6">
        <v>0</v>
      </c>
      <c r="K133" s="6">
        <v>0</v>
      </c>
      <c r="L133" s="6">
        <v>0</v>
      </c>
      <c r="M133" s="6">
        <v>0</v>
      </c>
      <c r="N133" s="6">
        <v>257764.82</v>
      </c>
    </row>
    <row r="134" spans="1:15" x14ac:dyDescent="0.2">
      <c r="A134" s="4" t="s">
        <v>14</v>
      </c>
      <c r="B134" s="4" t="s">
        <v>609</v>
      </c>
      <c r="C134" s="4">
        <v>7524</v>
      </c>
      <c r="D134" s="5">
        <v>45966</v>
      </c>
      <c r="E134" s="4">
        <v>900762275</v>
      </c>
      <c r="F134" s="4" t="s">
        <v>532</v>
      </c>
      <c r="G134" s="4">
        <v>901907732</v>
      </c>
      <c r="H134" s="4" t="s">
        <v>16</v>
      </c>
      <c r="I134" s="6">
        <v>576330</v>
      </c>
      <c r="J134" s="6">
        <v>0</v>
      </c>
      <c r="K134" s="6">
        <v>0</v>
      </c>
      <c r="L134" s="6">
        <v>0</v>
      </c>
      <c r="M134" s="6">
        <v>0</v>
      </c>
      <c r="N134" s="6">
        <v>576330</v>
      </c>
    </row>
    <row r="135" spans="1:15" x14ac:dyDescent="0.2">
      <c r="A135" s="4" t="s">
        <v>14</v>
      </c>
      <c r="B135" s="4" t="s">
        <v>610</v>
      </c>
      <c r="C135" s="4">
        <v>8665305</v>
      </c>
      <c r="D135" s="5">
        <v>45965</v>
      </c>
      <c r="E135" s="4">
        <v>900219834</v>
      </c>
      <c r="F135" s="4" t="s">
        <v>439</v>
      </c>
      <c r="G135" s="4">
        <v>901907732</v>
      </c>
      <c r="H135" s="4" t="s">
        <v>440</v>
      </c>
      <c r="I135" s="6">
        <v>6302.54</v>
      </c>
      <c r="J135" s="6">
        <v>1197.46</v>
      </c>
      <c r="K135" s="6">
        <v>0</v>
      </c>
      <c r="L135" s="6">
        <v>0</v>
      </c>
      <c r="M135" s="6">
        <v>0</v>
      </c>
      <c r="N135" s="6">
        <v>7500</v>
      </c>
    </row>
    <row r="136" spans="1:15" x14ac:dyDescent="0.2">
      <c r="A136" s="4" t="s">
        <v>442</v>
      </c>
      <c r="B136" s="4" t="s">
        <v>611</v>
      </c>
      <c r="C136" s="4">
        <v>65242445</v>
      </c>
      <c r="D136" s="5">
        <v>45962</v>
      </c>
      <c r="E136" s="4">
        <v>900219834</v>
      </c>
      <c r="F136" s="4" t="s">
        <v>439</v>
      </c>
      <c r="G136" s="4">
        <v>901907732</v>
      </c>
      <c r="H136" s="4" t="s">
        <v>444</v>
      </c>
      <c r="I136" s="6">
        <v>16100</v>
      </c>
      <c r="J136" s="6">
        <v>0</v>
      </c>
      <c r="K136" s="6">
        <v>0</v>
      </c>
      <c r="L136" s="6">
        <v>0</v>
      </c>
      <c r="M136" s="6">
        <v>0</v>
      </c>
      <c r="N136" s="6">
        <v>16100</v>
      </c>
    </row>
    <row r="137" spans="1:15" x14ac:dyDescent="0.2">
      <c r="A137" s="4" t="s">
        <v>442</v>
      </c>
      <c r="B137" s="4" t="s">
        <v>612</v>
      </c>
      <c r="C137" s="4">
        <v>65122454</v>
      </c>
      <c r="D137" s="5">
        <v>45962</v>
      </c>
      <c r="E137" s="4">
        <v>900219834</v>
      </c>
      <c r="F137" s="4" t="s">
        <v>439</v>
      </c>
      <c r="G137" s="4">
        <v>901907732</v>
      </c>
      <c r="H137" s="4" t="s">
        <v>444</v>
      </c>
      <c r="I137" s="6">
        <v>16100</v>
      </c>
      <c r="J137" s="6">
        <v>0</v>
      </c>
      <c r="K137" s="6">
        <v>0</v>
      </c>
      <c r="L137" s="6">
        <v>0</v>
      </c>
      <c r="M137" s="6">
        <v>0</v>
      </c>
      <c r="N137" s="6">
        <v>16100</v>
      </c>
    </row>
    <row r="138" spans="1:15" x14ac:dyDescent="0.2">
      <c r="A138" s="4" t="s">
        <v>14</v>
      </c>
      <c r="B138" s="4" t="s">
        <v>613</v>
      </c>
      <c r="C138" s="4">
        <v>11540</v>
      </c>
      <c r="D138" s="5">
        <v>45961</v>
      </c>
      <c r="E138" s="4">
        <v>901476410</v>
      </c>
      <c r="F138" s="4" t="s">
        <v>473</v>
      </c>
      <c r="G138" s="4">
        <v>901907732</v>
      </c>
      <c r="H138" s="4" t="s">
        <v>16</v>
      </c>
      <c r="I138" s="6">
        <v>268908</v>
      </c>
      <c r="J138" s="6">
        <v>51092</v>
      </c>
      <c r="K138" s="6">
        <v>0</v>
      </c>
      <c r="L138" s="6">
        <v>0</v>
      </c>
      <c r="M138" s="6">
        <v>0</v>
      </c>
      <c r="N138" s="6">
        <v>320000</v>
      </c>
      <c r="O138" s="16">
        <f>+I138*2.5%</f>
        <v>6722.7000000000007</v>
      </c>
    </row>
    <row r="139" spans="1:15" x14ac:dyDescent="0.2">
      <c r="A139" s="4" t="s">
        <v>14</v>
      </c>
      <c r="B139" s="4" t="s">
        <v>614</v>
      </c>
      <c r="C139" s="4">
        <v>12985</v>
      </c>
      <c r="D139" s="5">
        <v>45961</v>
      </c>
      <c r="E139" s="4">
        <v>700108357</v>
      </c>
      <c r="F139" s="4" t="s">
        <v>470</v>
      </c>
      <c r="G139" s="4">
        <v>901907732</v>
      </c>
      <c r="H139" s="4" t="s">
        <v>471</v>
      </c>
      <c r="I139" s="6">
        <v>261000</v>
      </c>
      <c r="J139" s="6">
        <v>0</v>
      </c>
      <c r="K139" s="6">
        <v>0</v>
      </c>
      <c r="L139" s="6">
        <v>0</v>
      </c>
      <c r="M139" s="6">
        <v>0</v>
      </c>
      <c r="N139" s="6">
        <v>261000</v>
      </c>
      <c r="O139" s="16">
        <f>+I139*3.5%</f>
        <v>9135</v>
      </c>
    </row>
    <row r="140" spans="1:15" x14ac:dyDescent="0.2">
      <c r="A140" s="4" t="s">
        <v>14</v>
      </c>
      <c r="B140" s="4" t="s">
        <v>615</v>
      </c>
      <c r="C140" s="4">
        <v>78906</v>
      </c>
      <c r="D140" s="5">
        <v>45961</v>
      </c>
      <c r="E140" s="4">
        <v>830085336</v>
      </c>
      <c r="F140" s="4" t="s">
        <v>449</v>
      </c>
      <c r="G140" s="4">
        <v>901907732</v>
      </c>
      <c r="H140" s="4" t="s">
        <v>450</v>
      </c>
      <c r="I140" s="6">
        <v>75630.25</v>
      </c>
      <c r="J140" s="6">
        <v>14369.75</v>
      </c>
      <c r="K140" s="6">
        <v>0</v>
      </c>
      <c r="L140" s="6">
        <v>0</v>
      </c>
      <c r="M140" s="6">
        <v>0</v>
      </c>
      <c r="N140" s="6">
        <v>90000</v>
      </c>
    </row>
    <row r="141" spans="1:15" x14ac:dyDescent="0.2">
      <c r="A141" s="4" t="s">
        <v>14</v>
      </c>
      <c r="B141" s="4" t="s">
        <v>616</v>
      </c>
      <c r="C141" s="4">
        <v>11499</v>
      </c>
      <c r="D141" s="5">
        <v>45960</v>
      </c>
      <c r="E141" s="4">
        <v>901476410</v>
      </c>
      <c r="F141" s="4" t="s">
        <v>473</v>
      </c>
      <c r="G141" s="4">
        <v>901907732</v>
      </c>
      <c r="H141" s="4" t="s">
        <v>16</v>
      </c>
      <c r="I141" s="6">
        <v>109664</v>
      </c>
      <c r="J141" s="6">
        <v>20836</v>
      </c>
      <c r="K141" s="6">
        <v>0</v>
      </c>
      <c r="L141" s="6">
        <v>0</v>
      </c>
      <c r="M141" s="6">
        <v>0</v>
      </c>
      <c r="N141" s="6">
        <v>130500</v>
      </c>
      <c r="O141" s="16">
        <f>+I141*2.5%</f>
        <v>2741.6000000000004</v>
      </c>
    </row>
    <row r="142" spans="1:15" x14ac:dyDescent="0.2">
      <c r="A142" s="4" t="s">
        <v>14</v>
      </c>
      <c r="B142" s="4" t="s">
        <v>617</v>
      </c>
      <c r="C142" s="4">
        <v>8016029</v>
      </c>
      <c r="D142" s="5">
        <v>45959</v>
      </c>
      <c r="E142" s="4">
        <v>900219834</v>
      </c>
      <c r="F142" s="4" t="s">
        <v>439</v>
      </c>
      <c r="G142" s="4">
        <v>901907732</v>
      </c>
      <c r="H142" s="4" t="s">
        <v>444</v>
      </c>
      <c r="I142" s="6">
        <v>16806.72</v>
      </c>
      <c r="J142" s="6">
        <v>3193.28</v>
      </c>
      <c r="K142" s="6">
        <v>0</v>
      </c>
      <c r="L142" s="6">
        <v>0</v>
      </c>
      <c r="M142" s="6">
        <v>0</v>
      </c>
      <c r="N142" s="6">
        <v>20000</v>
      </c>
    </row>
    <row r="143" spans="1:15" x14ac:dyDescent="0.2">
      <c r="A143" s="4" t="s">
        <v>14</v>
      </c>
      <c r="B143" s="4" t="s">
        <v>618</v>
      </c>
      <c r="C143" s="4">
        <v>8007939</v>
      </c>
      <c r="D143" s="5">
        <v>45959</v>
      </c>
      <c r="E143" s="4">
        <v>900219834</v>
      </c>
      <c r="F143" s="4" t="s">
        <v>439</v>
      </c>
      <c r="G143" s="4">
        <v>901907732</v>
      </c>
      <c r="H143" s="4" t="s">
        <v>444</v>
      </c>
      <c r="I143" s="6">
        <v>16806.72</v>
      </c>
      <c r="J143" s="6">
        <v>3193.28</v>
      </c>
      <c r="K143" s="6">
        <v>0</v>
      </c>
      <c r="L143" s="6">
        <v>0</v>
      </c>
      <c r="M143" s="6">
        <v>0</v>
      </c>
      <c r="N143" s="6">
        <v>20000</v>
      </c>
    </row>
    <row r="144" spans="1:15" x14ac:dyDescent="0.2">
      <c r="A144" s="4" t="s">
        <v>14</v>
      </c>
      <c r="B144" s="4" t="s">
        <v>619</v>
      </c>
      <c r="C144" s="4">
        <v>2228</v>
      </c>
      <c r="D144" s="5">
        <v>45958</v>
      </c>
      <c r="E144" s="4">
        <v>901575358</v>
      </c>
      <c r="F144" s="4" t="s">
        <v>620</v>
      </c>
      <c r="G144" s="4">
        <v>901907732</v>
      </c>
      <c r="H144" s="4" t="s">
        <v>16</v>
      </c>
      <c r="I144" s="6">
        <v>1616380.11</v>
      </c>
      <c r="J144" s="6">
        <v>307112.21999999997</v>
      </c>
      <c r="K144" s="6">
        <v>0</v>
      </c>
      <c r="L144" s="6">
        <v>0</v>
      </c>
      <c r="M144" s="6">
        <v>0</v>
      </c>
      <c r="N144" s="6">
        <v>1923492.33</v>
      </c>
    </row>
    <row r="145" spans="1:15" x14ac:dyDescent="0.2">
      <c r="A145" s="4" t="s">
        <v>14</v>
      </c>
      <c r="B145" s="4" t="s">
        <v>621</v>
      </c>
      <c r="C145" s="4">
        <v>32549</v>
      </c>
      <c r="D145" s="5">
        <v>45958</v>
      </c>
      <c r="E145" s="4">
        <v>43645742</v>
      </c>
      <c r="F145" s="4" t="s">
        <v>622</v>
      </c>
      <c r="G145" s="4">
        <v>901907732</v>
      </c>
      <c r="H145" s="4" t="s">
        <v>16</v>
      </c>
      <c r="I145" s="6">
        <v>63025.200000000004</v>
      </c>
      <c r="J145" s="6">
        <v>11974.79</v>
      </c>
      <c r="K145" s="6">
        <v>0</v>
      </c>
      <c r="L145" s="6">
        <v>0</v>
      </c>
      <c r="M145" s="6">
        <v>0</v>
      </c>
      <c r="N145" s="6">
        <v>74999.990000000005</v>
      </c>
    </row>
    <row r="146" spans="1:15" x14ac:dyDescent="0.2">
      <c r="A146" s="4" t="s">
        <v>14</v>
      </c>
      <c r="B146" s="4" t="s">
        <v>623</v>
      </c>
      <c r="C146" s="4">
        <v>24281</v>
      </c>
      <c r="D146" s="5">
        <v>45955</v>
      </c>
      <c r="E146" s="4">
        <v>900127810</v>
      </c>
      <c r="F146" s="4" t="s">
        <v>624</v>
      </c>
      <c r="G146" s="4">
        <v>901907732</v>
      </c>
      <c r="H146" s="4" t="s">
        <v>16</v>
      </c>
      <c r="I146" s="6">
        <v>53613.42</v>
      </c>
      <c r="J146" s="6">
        <v>10186.540000000001</v>
      </c>
      <c r="K146" s="6">
        <v>0</v>
      </c>
      <c r="L146" s="6">
        <v>0</v>
      </c>
      <c r="M146" s="6">
        <v>0</v>
      </c>
      <c r="N146" s="6">
        <v>63799.96</v>
      </c>
    </row>
    <row r="147" spans="1:15" x14ac:dyDescent="0.2">
      <c r="A147" s="4" t="s">
        <v>14</v>
      </c>
      <c r="B147" s="4" t="s">
        <v>625</v>
      </c>
      <c r="C147" s="4">
        <v>24250</v>
      </c>
      <c r="D147" s="5">
        <v>45954</v>
      </c>
      <c r="E147" s="4">
        <v>900127810</v>
      </c>
      <c r="F147" s="4" t="s">
        <v>624</v>
      </c>
      <c r="G147" s="4">
        <v>901907732</v>
      </c>
      <c r="H147" s="4" t="s">
        <v>16</v>
      </c>
      <c r="I147" s="6">
        <v>218613.40000000002</v>
      </c>
      <c r="J147" s="6">
        <v>41536.550000000003</v>
      </c>
      <c r="K147" s="6">
        <v>0</v>
      </c>
      <c r="L147" s="6">
        <v>0</v>
      </c>
      <c r="M147" s="6">
        <v>0</v>
      </c>
      <c r="N147" s="6">
        <v>260149.95</v>
      </c>
    </row>
    <row r="148" spans="1:15" x14ac:dyDescent="0.2">
      <c r="A148" s="4" t="s">
        <v>14</v>
      </c>
      <c r="B148" s="4" t="s">
        <v>626</v>
      </c>
      <c r="C148" s="4">
        <v>12949</v>
      </c>
      <c r="D148" s="5">
        <v>45954</v>
      </c>
      <c r="E148" s="4">
        <v>700108357</v>
      </c>
      <c r="F148" s="4" t="s">
        <v>470</v>
      </c>
      <c r="G148" s="4">
        <v>901907732</v>
      </c>
      <c r="H148" s="4" t="s">
        <v>471</v>
      </c>
      <c r="I148" s="6">
        <v>119500</v>
      </c>
      <c r="J148" s="6">
        <v>0</v>
      </c>
      <c r="K148" s="6">
        <v>0</v>
      </c>
      <c r="L148" s="6">
        <v>0</v>
      </c>
      <c r="M148" s="6">
        <v>0</v>
      </c>
      <c r="N148" s="6">
        <v>119500</v>
      </c>
      <c r="O148" s="16">
        <f>+I148*3.5%</f>
        <v>4182.5</v>
      </c>
    </row>
    <row r="149" spans="1:15" x14ac:dyDescent="0.2">
      <c r="A149" s="4" t="s">
        <v>442</v>
      </c>
      <c r="B149" s="4" t="s">
        <v>627</v>
      </c>
      <c r="C149" s="4">
        <v>63472232</v>
      </c>
      <c r="D149" s="5">
        <v>45953</v>
      </c>
      <c r="E149" s="4">
        <v>900219834</v>
      </c>
      <c r="F149" s="4" t="s">
        <v>439</v>
      </c>
      <c r="G149" s="4">
        <v>901907732</v>
      </c>
      <c r="H149" s="4" t="s">
        <v>444</v>
      </c>
      <c r="I149" s="6">
        <v>16100</v>
      </c>
      <c r="J149" s="6">
        <v>0</v>
      </c>
      <c r="K149" s="6">
        <v>0</v>
      </c>
      <c r="L149" s="6">
        <v>0</v>
      </c>
      <c r="M149" s="6">
        <v>0</v>
      </c>
      <c r="N149" s="6">
        <v>16100</v>
      </c>
    </row>
    <row r="150" spans="1:15" x14ac:dyDescent="0.2">
      <c r="A150" s="4" t="s">
        <v>442</v>
      </c>
      <c r="B150" s="4" t="s">
        <v>628</v>
      </c>
      <c r="C150" s="4">
        <v>63394656</v>
      </c>
      <c r="D150" s="5">
        <v>45953</v>
      </c>
      <c r="E150" s="4">
        <v>900219834</v>
      </c>
      <c r="F150" s="4" t="s">
        <v>439</v>
      </c>
      <c r="G150" s="4">
        <v>901907732</v>
      </c>
      <c r="H150" s="4" t="s">
        <v>444</v>
      </c>
      <c r="I150" s="6">
        <v>16100</v>
      </c>
      <c r="J150" s="6">
        <v>0</v>
      </c>
      <c r="K150" s="6">
        <v>0</v>
      </c>
      <c r="L150" s="6">
        <v>0</v>
      </c>
      <c r="M150" s="6">
        <v>0</v>
      </c>
      <c r="N150" s="6">
        <v>16100</v>
      </c>
    </row>
    <row r="151" spans="1:15" x14ac:dyDescent="0.2">
      <c r="A151" s="4" t="s">
        <v>14</v>
      </c>
      <c r="B151" s="4" t="s">
        <v>629</v>
      </c>
      <c r="C151" s="4">
        <v>6111</v>
      </c>
      <c r="D151" s="5">
        <v>45952</v>
      </c>
      <c r="E151" s="4">
        <v>811000784</v>
      </c>
      <c r="F151" s="4" t="s">
        <v>456</v>
      </c>
      <c r="G151" s="4">
        <v>901907732</v>
      </c>
      <c r="H151" s="4" t="s">
        <v>457</v>
      </c>
      <c r="I151" s="6">
        <v>137815.13</v>
      </c>
      <c r="J151" s="6">
        <v>26184.87</v>
      </c>
      <c r="K151" s="6">
        <v>0</v>
      </c>
      <c r="L151" s="6">
        <v>0</v>
      </c>
      <c r="M151" s="6">
        <v>0</v>
      </c>
      <c r="N151" s="6">
        <v>164000</v>
      </c>
    </row>
    <row r="152" spans="1:15" x14ac:dyDescent="0.2">
      <c r="A152" s="4" t="s">
        <v>14</v>
      </c>
      <c r="B152" s="4" t="s">
        <v>630</v>
      </c>
      <c r="C152" s="4">
        <v>11337</v>
      </c>
      <c r="D152" s="5">
        <v>45952</v>
      </c>
      <c r="E152" s="4">
        <v>901476410</v>
      </c>
      <c r="F152" s="4" t="s">
        <v>473</v>
      </c>
      <c r="G152" s="4">
        <v>901907732</v>
      </c>
      <c r="H152" s="4" t="s">
        <v>16</v>
      </c>
      <c r="I152" s="6">
        <v>447059</v>
      </c>
      <c r="J152" s="6">
        <v>84941</v>
      </c>
      <c r="K152" s="6">
        <v>0</v>
      </c>
      <c r="L152" s="6">
        <v>0</v>
      </c>
      <c r="M152" s="6">
        <v>0</v>
      </c>
      <c r="N152" s="6">
        <v>532000</v>
      </c>
      <c r="O152" s="16">
        <f t="shared" ref="O152:O153" si="1">+I152*2.5%</f>
        <v>11176.475</v>
      </c>
    </row>
    <row r="153" spans="1:15" x14ac:dyDescent="0.2">
      <c r="A153" s="4" t="s">
        <v>14</v>
      </c>
      <c r="B153" s="4" t="s">
        <v>631</v>
      </c>
      <c r="C153" s="4">
        <v>11336</v>
      </c>
      <c r="D153" s="5">
        <v>45952</v>
      </c>
      <c r="E153" s="4">
        <v>901476410</v>
      </c>
      <c r="F153" s="4" t="s">
        <v>473</v>
      </c>
      <c r="G153" s="4">
        <v>901907732</v>
      </c>
      <c r="H153" s="4" t="s">
        <v>16</v>
      </c>
      <c r="I153" s="6">
        <v>505916</v>
      </c>
      <c r="J153" s="6">
        <v>36084</v>
      </c>
      <c r="K153" s="6">
        <v>0</v>
      </c>
      <c r="L153" s="6">
        <v>0</v>
      </c>
      <c r="M153" s="6">
        <v>0</v>
      </c>
      <c r="N153" s="6">
        <v>542000</v>
      </c>
      <c r="O153" s="16">
        <f t="shared" si="1"/>
        <v>12647.900000000001</v>
      </c>
    </row>
    <row r="154" spans="1:15" x14ac:dyDescent="0.2">
      <c r="A154" s="4" t="s">
        <v>14</v>
      </c>
      <c r="B154" s="4" t="s">
        <v>632</v>
      </c>
      <c r="C154" s="4">
        <v>155455845</v>
      </c>
      <c r="D154" s="5">
        <v>45952</v>
      </c>
      <c r="E154" s="4">
        <v>830114921</v>
      </c>
      <c r="F154" s="4" t="s">
        <v>459</v>
      </c>
      <c r="G154" s="4">
        <v>901907732</v>
      </c>
      <c r="H154" s="4" t="s">
        <v>460</v>
      </c>
      <c r="I154" s="6">
        <v>97975.78</v>
      </c>
      <c r="J154" s="6">
        <v>18615.39</v>
      </c>
      <c r="K154" s="6">
        <v>0</v>
      </c>
      <c r="L154" s="6">
        <v>1848.83</v>
      </c>
      <c r="M154" s="6">
        <v>0</v>
      </c>
      <c r="N154" s="6">
        <v>118440</v>
      </c>
    </row>
    <row r="155" spans="1:15" x14ac:dyDescent="0.2">
      <c r="A155" s="4" t="s">
        <v>14</v>
      </c>
      <c r="B155" s="4" t="s">
        <v>633</v>
      </c>
      <c r="C155" s="4">
        <v>11287</v>
      </c>
      <c r="D155" s="5">
        <v>45951</v>
      </c>
      <c r="E155" s="4">
        <v>901476410</v>
      </c>
      <c r="F155" s="4" t="s">
        <v>473</v>
      </c>
      <c r="G155" s="4">
        <v>901907732</v>
      </c>
      <c r="H155" s="4" t="s">
        <v>16</v>
      </c>
      <c r="I155" s="6">
        <v>110084</v>
      </c>
      <c r="J155" s="6">
        <v>20916</v>
      </c>
      <c r="K155" s="6">
        <v>0</v>
      </c>
      <c r="L155" s="6">
        <v>0</v>
      </c>
      <c r="M155" s="6">
        <v>0</v>
      </c>
      <c r="N155" s="6">
        <v>131000</v>
      </c>
      <c r="O155" s="16">
        <f>+I155*2.5%</f>
        <v>2752.1000000000004</v>
      </c>
    </row>
    <row r="156" spans="1:15" x14ac:dyDescent="0.2">
      <c r="A156" s="4" t="s">
        <v>14</v>
      </c>
      <c r="B156" s="4" t="s">
        <v>634</v>
      </c>
      <c r="C156" s="4">
        <v>7322</v>
      </c>
      <c r="D156" s="5">
        <v>45951</v>
      </c>
      <c r="E156" s="4">
        <v>901519900</v>
      </c>
      <c r="F156" s="4" t="s">
        <v>467</v>
      </c>
      <c r="G156" s="4">
        <v>901907732</v>
      </c>
      <c r="H156" s="4" t="s">
        <v>16</v>
      </c>
      <c r="I156" s="6">
        <v>34000</v>
      </c>
      <c r="J156" s="6">
        <v>0</v>
      </c>
      <c r="K156" s="6">
        <v>0</v>
      </c>
      <c r="L156" s="6">
        <v>0</v>
      </c>
      <c r="M156" s="6">
        <v>0</v>
      </c>
      <c r="N156" s="6">
        <v>34000</v>
      </c>
    </row>
    <row r="157" spans="1:15" x14ac:dyDescent="0.2">
      <c r="A157" s="4" t="s">
        <v>14</v>
      </c>
      <c r="B157" s="4" t="s">
        <v>635</v>
      </c>
      <c r="C157" s="4">
        <v>155303262</v>
      </c>
      <c r="D157" s="5">
        <v>45951</v>
      </c>
      <c r="E157" s="4">
        <v>830114921</v>
      </c>
      <c r="F157" s="4" t="s">
        <v>459</v>
      </c>
      <c r="G157" s="4">
        <v>901907732</v>
      </c>
      <c r="H157" s="4" t="s">
        <v>462</v>
      </c>
      <c r="I157" s="6">
        <v>3.41</v>
      </c>
      <c r="J157" s="6">
        <v>0.59</v>
      </c>
      <c r="K157" s="6">
        <v>0</v>
      </c>
      <c r="L157" s="6">
        <v>0</v>
      </c>
      <c r="M157" s="6">
        <v>0</v>
      </c>
      <c r="N157" s="6">
        <v>4</v>
      </c>
    </row>
    <row r="158" spans="1:15" x14ac:dyDescent="0.2">
      <c r="A158" s="4" t="s">
        <v>14</v>
      </c>
      <c r="B158" s="4" t="s">
        <v>636</v>
      </c>
      <c r="C158" s="4">
        <v>155303112</v>
      </c>
      <c r="D158" s="5">
        <v>45951</v>
      </c>
      <c r="E158" s="4">
        <v>830114921</v>
      </c>
      <c r="F158" s="4" t="s">
        <v>459</v>
      </c>
      <c r="G158" s="4">
        <v>901907732</v>
      </c>
      <c r="H158" s="4" t="s">
        <v>464</v>
      </c>
      <c r="I158" s="6">
        <v>68529.850000000006</v>
      </c>
      <c r="J158" s="6">
        <v>13020.61</v>
      </c>
      <c r="K158" s="6">
        <v>0</v>
      </c>
      <c r="L158" s="6">
        <v>1188.54</v>
      </c>
      <c r="M158" s="6">
        <v>0</v>
      </c>
      <c r="N158" s="6">
        <v>82739</v>
      </c>
    </row>
    <row r="159" spans="1:15" x14ac:dyDescent="0.2">
      <c r="A159" s="4" t="s">
        <v>14</v>
      </c>
      <c r="B159" s="4" t="s">
        <v>637</v>
      </c>
      <c r="C159" s="4">
        <v>203017</v>
      </c>
      <c r="D159" s="5">
        <v>45950</v>
      </c>
      <c r="E159" s="4">
        <v>890941794</v>
      </c>
      <c r="F159" s="4" t="s">
        <v>515</v>
      </c>
      <c r="G159" s="4">
        <v>901907732</v>
      </c>
      <c r="H159" s="4" t="s">
        <v>16</v>
      </c>
      <c r="I159" s="6">
        <v>199847</v>
      </c>
      <c r="J159" s="6">
        <v>37970.93</v>
      </c>
      <c r="K159" s="6">
        <v>0</v>
      </c>
      <c r="L159" s="6">
        <v>0</v>
      </c>
      <c r="M159" s="6">
        <v>0</v>
      </c>
      <c r="N159" s="6">
        <v>237817.93</v>
      </c>
    </row>
    <row r="160" spans="1:15" x14ac:dyDescent="0.2">
      <c r="A160" s="4" t="s">
        <v>14</v>
      </c>
      <c r="B160" s="4" t="s">
        <v>638</v>
      </c>
      <c r="C160" s="4">
        <v>576633</v>
      </c>
      <c r="D160" s="5">
        <v>45950</v>
      </c>
      <c r="E160" s="4">
        <v>800091549</v>
      </c>
      <c r="F160" s="4" t="s">
        <v>408</v>
      </c>
      <c r="G160" s="4">
        <v>901907732</v>
      </c>
      <c r="H160" s="4" t="s">
        <v>427</v>
      </c>
      <c r="I160" s="6">
        <v>12954965</v>
      </c>
      <c r="J160" s="6">
        <v>0</v>
      </c>
      <c r="K160" s="6">
        <v>0</v>
      </c>
      <c r="L160" s="6">
        <v>0</v>
      </c>
      <c r="M160" s="6">
        <v>0</v>
      </c>
      <c r="N160" s="6">
        <v>12954965</v>
      </c>
    </row>
    <row r="161" spans="1:15" x14ac:dyDescent="0.2">
      <c r="A161" s="4" t="s">
        <v>14</v>
      </c>
      <c r="B161" s="4" t="s">
        <v>639</v>
      </c>
      <c r="C161" s="4">
        <v>7858578</v>
      </c>
      <c r="D161" s="5">
        <v>45948</v>
      </c>
      <c r="E161" s="4">
        <v>900219834</v>
      </c>
      <c r="F161" s="4" t="s">
        <v>439</v>
      </c>
      <c r="G161" s="4">
        <v>901907732</v>
      </c>
      <c r="H161" s="4" t="s">
        <v>444</v>
      </c>
      <c r="I161" s="6">
        <v>5462</v>
      </c>
      <c r="J161" s="6">
        <v>1038</v>
      </c>
      <c r="K161" s="6">
        <v>0</v>
      </c>
      <c r="L161" s="6">
        <v>0</v>
      </c>
      <c r="M161" s="6">
        <v>0</v>
      </c>
      <c r="N161" s="6">
        <v>6500</v>
      </c>
    </row>
    <row r="162" spans="1:15" x14ac:dyDescent="0.2">
      <c r="A162" s="4" t="s">
        <v>14</v>
      </c>
      <c r="B162" s="4" t="s">
        <v>640</v>
      </c>
      <c r="C162" s="4">
        <v>78329</v>
      </c>
      <c r="D162" s="5">
        <v>45948</v>
      </c>
      <c r="E162" s="4">
        <v>830085336</v>
      </c>
      <c r="F162" s="4" t="s">
        <v>449</v>
      </c>
      <c r="G162" s="4">
        <v>901907732</v>
      </c>
      <c r="H162" s="4" t="s">
        <v>450</v>
      </c>
      <c r="I162" s="6">
        <v>369747.9</v>
      </c>
      <c r="J162" s="6">
        <v>70252.11</v>
      </c>
      <c r="K162" s="6">
        <v>0</v>
      </c>
      <c r="L162" s="6">
        <v>0</v>
      </c>
      <c r="M162" s="6">
        <v>0</v>
      </c>
      <c r="N162" s="6">
        <v>440000.01</v>
      </c>
    </row>
    <row r="163" spans="1:15" x14ac:dyDescent="0.2">
      <c r="A163" s="4" t="s">
        <v>442</v>
      </c>
      <c r="B163" s="4" t="s">
        <v>641</v>
      </c>
      <c r="C163" s="4">
        <v>62583605</v>
      </c>
      <c r="D163" s="5">
        <v>45948</v>
      </c>
      <c r="E163" s="4">
        <v>900219834</v>
      </c>
      <c r="F163" s="4" t="s">
        <v>439</v>
      </c>
      <c r="G163" s="4">
        <v>901907732</v>
      </c>
      <c r="H163" s="4" t="s">
        <v>444</v>
      </c>
      <c r="I163" s="6">
        <v>12900</v>
      </c>
      <c r="J163" s="6">
        <v>0</v>
      </c>
      <c r="K163" s="6">
        <v>0</v>
      </c>
      <c r="L163" s="6">
        <v>0</v>
      </c>
      <c r="M163" s="6">
        <v>0</v>
      </c>
      <c r="N163" s="6">
        <v>12900</v>
      </c>
    </row>
    <row r="164" spans="1:15" x14ac:dyDescent="0.2">
      <c r="A164" s="4" t="s">
        <v>14</v>
      </c>
      <c r="B164" s="4" t="s">
        <v>642</v>
      </c>
      <c r="C164" s="4">
        <v>7852965</v>
      </c>
      <c r="D164" s="5">
        <v>45948</v>
      </c>
      <c r="E164" s="4">
        <v>900219834</v>
      </c>
      <c r="F164" s="4" t="s">
        <v>439</v>
      </c>
      <c r="G164" s="4">
        <v>901907732</v>
      </c>
      <c r="H164" s="4" t="s">
        <v>444</v>
      </c>
      <c r="I164" s="6">
        <v>3408</v>
      </c>
      <c r="J164" s="6">
        <v>592</v>
      </c>
      <c r="K164" s="6">
        <v>0</v>
      </c>
      <c r="L164" s="6">
        <v>0</v>
      </c>
      <c r="M164" s="6">
        <v>0</v>
      </c>
      <c r="N164" s="6">
        <v>4000</v>
      </c>
    </row>
    <row r="165" spans="1:15" x14ac:dyDescent="0.2">
      <c r="A165" s="4" t="s">
        <v>442</v>
      </c>
      <c r="B165" s="4" t="s">
        <v>643</v>
      </c>
      <c r="C165" s="4">
        <v>62531289</v>
      </c>
      <c r="D165" s="5">
        <v>45948</v>
      </c>
      <c r="E165" s="4">
        <v>900219834</v>
      </c>
      <c r="F165" s="4" t="s">
        <v>439</v>
      </c>
      <c r="G165" s="4">
        <v>901907732</v>
      </c>
      <c r="H165" s="4" t="s">
        <v>444</v>
      </c>
      <c r="I165" s="6">
        <v>25000</v>
      </c>
      <c r="J165" s="6">
        <v>0</v>
      </c>
      <c r="K165" s="6">
        <v>0</v>
      </c>
      <c r="L165" s="6">
        <v>0</v>
      </c>
      <c r="M165" s="6">
        <v>0</v>
      </c>
      <c r="N165" s="6">
        <v>25000</v>
      </c>
    </row>
    <row r="166" spans="1:15" x14ac:dyDescent="0.2">
      <c r="A166" s="4" t="s">
        <v>14</v>
      </c>
      <c r="B166" s="4" t="s">
        <v>644</v>
      </c>
      <c r="C166" s="4">
        <v>12899</v>
      </c>
      <c r="D166" s="5">
        <v>45947</v>
      </c>
      <c r="E166" s="4">
        <v>700108357</v>
      </c>
      <c r="F166" s="4" t="s">
        <v>470</v>
      </c>
      <c r="G166" s="4">
        <v>901907732</v>
      </c>
      <c r="H166" s="4" t="s">
        <v>471</v>
      </c>
      <c r="I166" s="6">
        <v>200000</v>
      </c>
      <c r="J166" s="6">
        <v>0</v>
      </c>
      <c r="K166" s="6">
        <v>0</v>
      </c>
      <c r="L166" s="6">
        <v>0</v>
      </c>
      <c r="M166" s="6">
        <v>0</v>
      </c>
      <c r="N166" s="6">
        <v>200000</v>
      </c>
      <c r="O166" s="16">
        <f>+I166*3.5%</f>
        <v>7000.0000000000009</v>
      </c>
    </row>
    <row r="167" spans="1:15" x14ac:dyDescent="0.2">
      <c r="A167" s="4" t="s">
        <v>14</v>
      </c>
      <c r="B167" s="4" t="s">
        <v>645</v>
      </c>
      <c r="C167" s="4">
        <v>1171</v>
      </c>
      <c r="D167" s="5">
        <v>45947</v>
      </c>
      <c r="E167" s="4">
        <v>901718849</v>
      </c>
      <c r="F167" s="4" t="s">
        <v>646</v>
      </c>
      <c r="G167" s="4">
        <v>901907732</v>
      </c>
      <c r="H167" s="4" t="s">
        <v>16</v>
      </c>
      <c r="I167" s="6">
        <v>2279232</v>
      </c>
      <c r="J167" s="6">
        <v>0</v>
      </c>
      <c r="K167" s="6">
        <v>0</v>
      </c>
      <c r="L167" s="6">
        <v>0</v>
      </c>
      <c r="M167" s="6">
        <v>0</v>
      </c>
      <c r="N167" s="6">
        <v>2279232</v>
      </c>
    </row>
    <row r="168" spans="1:15" x14ac:dyDescent="0.2">
      <c r="A168" s="4" t="s">
        <v>14</v>
      </c>
      <c r="B168" s="4" t="s">
        <v>647</v>
      </c>
      <c r="C168" s="4">
        <v>1169</v>
      </c>
      <c r="D168" s="5">
        <v>45947</v>
      </c>
      <c r="E168" s="4">
        <v>901718849</v>
      </c>
      <c r="F168" s="4" t="s">
        <v>646</v>
      </c>
      <c r="G168" s="4">
        <v>901907732</v>
      </c>
      <c r="H168" s="4" t="s">
        <v>16</v>
      </c>
      <c r="I168" s="6">
        <v>930000</v>
      </c>
      <c r="J168" s="6">
        <v>0</v>
      </c>
      <c r="K168" s="6">
        <v>0</v>
      </c>
      <c r="L168" s="6">
        <v>0</v>
      </c>
      <c r="M168" s="6">
        <v>0</v>
      </c>
      <c r="N168" s="6">
        <v>930000</v>
      </c>
    </row>
    <row r="169" spans="1:15" x14ac:dyDescent="0.2">
      <c r="A169" s="4" t="s">
        <v>14</v>
      </c>
      <c r="B169" s="4" t="s">
        <v>648</v>
      </c>
      <c r="C169" s="4">
        <v>11226</v>
      </c>
      <c r="D169" s="5">
        <v>45947</v>
      </c>
      <c r="E169" s="4">
        <v>901476410</v>
      </c>
      <c r="F169" s="4" t="s">
        <v>473</v>
      </c>
      <c r="G169" s="4">
        <v>901907732</v>
      </c>
      <c r="H169" s="4" t="s">
        <v>16</v>
      </c>
      <c r="I169" s="6">
        <v>291597</v>
      </c>
      <c r="J169" s="6">
        <v>55403</v>
      </c>
      <c r="K169" s="6">
        <v>0</v>
      </c>
      <c r="L169" s="6">
        <v>0</v>
      </c>
      <c r="M169" s="6">
        <v>0</v>
      </c>
      <c r="N169" s="6">
        <v>347000</v>
      </c>
      <c r="O169" s="16">
        <f>+I169*2.5%</f>
        <v>7289.9250000000002</v>
      </c>
    </row>
    <row r="170" spans="1:15" x14ac:dyDescent="0.2">
      <c r="A170" s="4" t="s">
        <v>14</v>
      </c>
      <c r="B170" s="4" t="s">
        <v>649</v>
      </c>
      <c r="C170" s="4">
        <v>92963</v>
      </c>
      <c r="D170" s="5">
        <v>45947</v>
      </c>
      <c r="E170" s="4">
        <v>91076199</v>
      </c>
      <c r="F170" s="4" t="s">
        <v>650</v>
      </c>
      <c r="G170" s="4">
        <v>901907732</v>
      </c>
      <c r="H170" s="4" t="s">
        <v>16</v>
      </c>
      <c r="I170" s="6">
        <v>429411.77</v>
      </c>
      <c r="J170" s="6">
        <v>81588.23</v>
      </c>
      <c r="K170" s="6">
        <v>0</v>
      </c>
      <c r="L170" s="6">
        <v>0</v>
      </c>
      <c r="M170" s="6">
        <v>0</v>
      </c>
      <c r="N170" s="6">
        <v>511000</v>
      </c>
    </row>
    <row r="171" spans="1:15" x14ac:dyDescent="0.2">
      <c r="A171" s="4" t="s">
        <v>14</v>
      </c>
      <c r="B171" s="4" t="s">
        <v>651</v>
      </c>
      <c r="C171" s="4">
        <v>1275</v>
      </c>
      <c r="D171" s="5">
        <v>45947</v>
      </c>
      <c r="E171" s="4">
        <v>93397337</v>
      </c>
      <c r="F171" s="4" t="s">
        <v>525</v>
      </c>
      <c r="G171" s="4">
        <v>901907732</v>
      </c>
      <c r="H171" s="4" t="s">
        <v>16</v>
      </c>
      <c r="I171" s="6">
        <v>100000</v>
      </c>
      <c r="J171" s="6">
        <v>0</v>
      </c>
      <c r="K171" s="6">
        <v>0</v>
      </c>
      <c r="L171" s="6">
        <v>0</v>
      </c>
      <c r="M171" s="6">
        <v>0</v>
      </c>
      <c r="N171" s="6">
        <v>100000</v>
      </c>
    </row>
    <row r="172" spans="1:15" x14ac:dyDescent="0.2">
      <c r="A172" s="4" t="s">
        <v>442</v>
      </c>
      <c r="B172" s="4" t="s">
        <v>652</v>
      </c>
      <c r="C172" s="4">
        <v>62257241</v>
      </c>
      <c r="D172" s="5">
        <v>45946</v>
      </c>
      <c r="E172" s="4">
        <v>900219834</v>
      </c>
      <c r="F172" s="4" t="s">
        <v>439</v>
      </c>
      <c r="G172" s="4">
        <v>901907732</v>
      </c>
      <c r="H172" s="4" t="s">
        <v>444</v>
      </c>
      <c r="I172" s="6">
        <v>12900</v>
      </c>
      <c r="J172" s="6">
        <v>0</v>
      </c>
      <c r="K172" s="6">
        <v>0</v>
      </c>
      <c r="L172" s="6">
        <v>0</v>
      </c>
      <c r="M172" s="6">
        <v>0</v>
      </c>
      <c r="N172" s="6">
        <v>12900</v>
      </c>
    </row>
    <row r="173" spans="1:15" x14ac:dyDescent="0.2">
      <c r="A173" s="4" t="s">
        <v>14</v>
      </c>
      <c r="B173" s="4" t="s">
        <v>653</v>
      </c>
      <c r="C173" s="4">
        <v>576248</v>
      </c>
      <c r="D173" s="5">
        <v>45946</v>
      </c>
      <c r="E173" s="4">
        <v>800091549</v>
      </c>
      <c r="F173" s="4" t="s">
        <v>408</v>
      </c>
      <c r="G173" s="4">
        <v>901907732</v>
      </c>
      <c r="H173" s="4" t="s">
        <v>427</v>
      </c>
      <c r="I173" s="6">
        <v>1443360</v>
      </c>
      <c r="J173" s="6">
        <v>0</v>
      </c>
      <c r="K173" s="6">
        <v>0</v>
      </c>
      <c r="L173" s="6">
        <v>0</v>
      </c>
      <c r="M173" s="6">
        <v>0</v>
      </c>
      <c r="N173" s="6">
        <v>1443360</v>
      </c>
    </row>
    <row r="174" spans="1:15" x14ac:dyDescent="0.2">
      <c r="A174" s="4" t="s">
        <v>14</v>
      </c>
      <c r="B174" s="4" t="s">
        <v>654</v>
      </c>
      <c r="C174" s="4">
        <v>7830583</v>
      </c>
      <c r="D174" s="5">
        <v>45946</v>
      </c>
      <c r="E174" s="4">
        <v>900219834</v>
      </c>
      <c r="F174" s="4" t="s">
        <v>439</v>
      </c>
      <c r="G174" s="4">
        <v>901907732</v>
      </c>
      <c r="H174" s="4" t="s">
        <v>444</v>
      </c>
      <c r="I174" s="6">
        <v>6817</v>
      </c>
      <c r="J174" s="6">
        <v>1184</v>
      </c>
      <c r="K174" s="6">
        <v>0</v>
      </c>
      <c r="L174" s="6">
        <v>0</v>
      </c>
      <c r="M174" s="6">
        <v>0</v>
      </c>
      <c r="N174" s="6">
        <v>8001</v>
      </c>
    </row>
    <row r="175" spans="1:15" x14ac:dyDescent="0.2">
      <c r="A175" s="4" t="s">
        <v>14</v>
      </c>
      <c r="B175" s="4" t="s">
        <v>655</v>
      </c>
      <c r="C175" s="4">
        <v>1163</v>
      </c>
      <c r="D175" s="5">
        <v>45946</v>
      </c>
      <c r="E175" s="4">
        <v>901718849</v>
      </c>
      <c r="F175" s="4" t="s">
        <v>646</v>
      </c>
      <c r="G175" s="4">
        <v>901907732</v>
      </c>
      <c r="H175" s="4" t="s">
        <v>16</v>
      </c>
      <c r="I175" s="6">
        <v>1085000</v>
      </c>
      <c r="J175" s="6">
        <v>0</v>
      </c>
      <c r="K175" s="6">
        <v>0</v>
      </c>
      <c r="L175" s="6">
        <v>0</v>
      </c>
      <c r="M175" s="6">
        <v>0</v>
      </c>
      <c r="N175" s="6">
        <v>1085000</v>
      </c>
    </row>
    <row r="176" spans="1:15" x14ac:dyDescent="0.2">
      <c r="A176" s="4" t="s">
        <v>442</v>
      </c>
      <c r="B176" s="4" t="s">
        <v>656</v>
      </c>
      <c r="C176" s="4">
        <v>62178227</v>
      </c>
      <c r="D176" s="5">
        <v>45946</v>
      </c>
      <c r="E176" s="4">
        <v>900219834</v>
      </c>
      <c r="F176" s="4" t="s">
        <v>439</v>
      </c>
      <c r="G176" s="4">
        <v>901907732</v>
      </c>
      <c r="H176" s="4" t="s">
        <v>444</v>
      </c>
      <c r="I176" s="6">
        <v>12900</v>
      </c>
      <c r="J176" s="6">
        <v>0</v>
      </c>
      <c r="K176" s="6">
        <v>0</v>
      </c>
      <c r="L176" s="6">
        <v>0</v>
      </c>
      <c r="M176" s="6">
        <v>0</v>
      </c>
      <c r="N176" s="6">
        <v>12900</v>
      </c>
    </row>
    <row r="177" spans="1:17" x14ac:dyDescent="0.2">
      <c r="A177" s="4" t="s">
        <v>14</v>
      </c>
      <c r="B177" s="4" t="s">
        <v>657</v>
      </c>
      <c r="C177" s="4">
        <v>586258</v>
      </c>
      <c r="D177" s="5">
        <v>45946</v>
      </c>
      <c r="E177" s="4">
        <v>900188685</v>
      </c>
      <c r="F177" s="4" t="s">
        <v>536</v>
      </c>
      <c r="G177" s="4">
        <v>901907732</v>
      </c>
      <c r="H177" s="4" t="s">
        <v>16</v>
      </c>
      <c r="I177" s="6">
        <v>166637</v>
      </c>
      <c r="J177" s="6">
        <v>31661.03</v>
      </c>
      <c r="K177" s="6">
        <v>0</v>
      </c>
      <c r="L177" s="6">
        <v>0</v>
      </c>
      <c r="M177" s="6">
        <v>0</v>
      </c>
      <c r="N177" s="6">
        <v>198298.03</v>
      </c>
    </row>
    <row r="178" spans="1:17" x14ac:dyDescent="0.2">
      <c r="A178" s="4" t="s">
        <v>14</v>
      </c>
      <c r="B178" s="4" t="s">
        <v>658</v>
      </c>
      <c r="C178" s="4">
        <v>575814</v>
      </c>
      <c r="D178" s="5">
        <v>45945</v>
      </c>
      <c r="E178" s="4">
        <v>800091549</v>
      </c>
      <c r="F178" s="4" t="s">
        <v>408</v>
      </c>
      <c r="G178" s="4">
        <v>901907732</v>
      </c>
      <c r="H178" s="4" t="s">
        <v>427</v>
      </c>
      <c r="I178" s="6">
        <v>471099</v>
      </c>
      <c r="J178" s="6">
        <v>0</v>
      </c>
      <c r="K178" s="6">
        <v>0</v>
      </c>
      <c r="L178" s="6">
        <v>0</v>
      </c>
      <c r="M178" s="6">
        <v>0</v>
      </c>
      <c r="N178" s="6">
        <v>471099</v>
      </c>
    </row>
    <row r="179" spans="1:17" x14ac:dyDescent="0.2">
      <c r="A179" s="4" t="s">
        <v>14</v>
      </c>
      <c r="B179" s="4" t="s">
        <v>659</v>
      </c>
      <c r="C179" s="4">
        <v>11158</v>
      </c>
      <c r="D179" s="5">
        <v>45945</v>
      </c>
      <c r="E179" s="4">
        <v>901476410</v>
      </c>
      <c r="F179" s="4" t="s">
        <v>473</v>
      </c>
      <c r="G179" s="4">
        <v>901907732</v>
      </c>
      <c r="H179" s="4" t="s">
        <v>16</v>
      </c>
      <c r="I179" s="6">
        <v>465546</v>
      </c>
      <c r="J179" s="6">
        <v>88454</v>
      </c>
      <c r="K179" s="6">
        <v>0</v>
      </c>
      <c r="L179" s="6">
        <v>0</v>
      </c>
      <c r="M179" s="6">
        <v>0</v>
      </c>
      <c r="N179" s="6">
        <v>554000</v>
      </c>
      <c r="O179" s="16">
        <f>+I179*2.5%</f>
        <v>11638.650000000001</v>
      </c>
    </row>
    <row r="180" spans="1:17" x14ac:dyDescent="0.2">
      <c r="A180" s="4" t="s">
        <v>14</v>
      </c>
      <c r="B180" s="4" t="s">
        <v>660</v>
      </c>
      <c r="C180" s="4">
        <v>78143</v>
      </c>
      <c r="D180" s="5">
        <v>45945</v>
      </c>
      <c r="E180" s="4">
        <v>830085336</v>
      </c>
      <c r="F180" s="4" t="s">
        <v>449</v>
      </c>
      <c r="G180" s="4">
        <v>901907732</v>
      </c>
      <c r="H180" s="4" t="s">
        <v>450</v>
      </c>
      <c r="I180" s="6">
        <v>269747.90000000002</v>
      </c>
      <c r="J180" s="6">
        <v>51252.1</v>
      </c>
      <c r="K180" s="6">
        <v>0</v>
      </c>
      <c r="L180" s="6">
        <v>0</v>
      </c>
      <c r="M180" s="6">
        <v>0</v>
      </c>
      <c r="N180" s="6">
        <v>321000</v>
      </c>
    </row>
    <row r="181" spans="1:17" x14ac:dyDescent="0.2">
      <c r="A181" s="4" t="s">
        <v>14</v>
      </c>
      <c r="B181" s="4" t="s">
        <v>661</v>
      </c>
      <c r="C181" s="4">
        <v>190355</v>
      </c>
      <c r="D181" s="5">
        <v>45944</v>
      </c>
      <c r="E181" s="4">
        <v>901192317</v>
      </c>
      <c r="F181" s="4" t="s">
        <v>492</v>
      </c>
      <c r="G181" s="4">
        <v>901907732</v>
      </c>
      <c r="H181" s="4" t="s">
        <v>16</v>
      </c>
      <c r="I181" s="6">
        <v>318224.36</v>
      </c>
      <c r="J181" s="6">
        <v>60463</v>
      </c>
      <c r="K181" s="6">
        <v>0</v>
      </c>
      <c r="L181" s="6">
        <v>0</v>
      </c>
      <c r="M181" s="6">
        <v>0</v>
      </c>
      <c r="N181" s="6">
        <v>378687.36</v>
      </c>
    </row>
    <row r="182" spans="1:17" x14ac:dyDescent="0.2">
      <c r="A182" s="4" t="s">
        <v>14</v>
      </c>
      <c r="B182" s="4" t="s">
        <v>662</v>
      </c>
      <c r="C182" s="4">
        <v>78098</v>
      </c>
      <c r="D182" s="5">
        <v>45944</v>
      </c>
      <c r="E182" s="4">
        <v>830085336</v>
      </c>
      <c r="F182" s="4" t="s">
        <v>449</v>
      </c>
      <c r="G182" s="4">
        <v>901907732</v>
      </c>
      <c r="H182" s="4" t="s">
        <v>450</v>
      </c>
      <c r="I182" s="6">
        <v>192436.99</v>
      </c>
      <c r="J182" s="6">
        <v>36563.040000000001</v>
      </c>
      <c r="K182" s="6">
        <v>0</v>
      </c>
      <c r="L182" s="6">
        <v>0</v>
      </c>
      <c r="M182" s="6">
        <v>0</v>
      </c>
      <c r="N182" s="6">
        <v>229000.03</v>
      </c>
      <c r="Q182" s="6">
        <v>49800</v>
      </c>
    </row>
    <row r="183" spans="1:17" x14ac:dyDescent="0.2">
      <c r="A183" s="4" t="s">
        <v>14</v>
      </c>
      <c r="B183" s="4" t="s">
        <v>663</v>
      </c>
      <c r="C183" s="4">
        <v>22193</v>
      </c>
      <c r="D183" s="5">
        <v>45944</v>
      </c>
      <c r="E183" s="4">
        <v>811000784</v>
      </c>
      <c r="F183" s="4" t="s">
        <v>456</v>
      </c>
      <c r="G183" s="4">
        <v>901907732</v>
      </c>
      <c r="H183" s="4" t="s">
        <v>16</v>
      </c>
      <c r="I183" s="6">
        <v>300000</v>
      </c>
      <c r="J183" s="6">
        <v>0</v>
      </c>
      <c r="K183" s="6">
        <v>0</v>
      </c>
      <c r="L183" s="6">
        <v>0</v>
      </c>
      <c r="M183" s="6">
        <v>0</v>
      </c>
      <c r="N183" s="6">
        <v>300000</v>
      </c>
    </row>
    <row r="184" spans="1:17" x14ac:dyDescent="0.2">
      <c r="A184" s="4" t="s">
        <v>14</v>
      </c>
      <c r="B184" s="4" t="s">
        <v>664</v>
      </c>
      <c r="C184" s="4">
        <v>3260</v>
      </c>
      <c r="D184" s="5">
        <v>45944</v>
      </c>
      <c r="E184" s="4">
        <v>900837483</v>
      </c>
      <c r="F184" s="4" t="s">
        <v>665</v>
      </c>
      <c r="G184" s="4">
        <v>901907732</v>
      </c>
      <c r="H184" s="4" t="s">
        <v>16</v>
      </c>
      <c r="I184" s="6">
        <v>107000</v>
      </c>
      <c r="J184" s="6">
        <v>20330</v>
      </c>
      <c r="K184" s="6">
        <v>0</v>
      </c>
      <c r="L184" s="6">
        <v>0</v>
      </c>
      <c r="M184" s="6">
        <v>0</v>
      </c>
      <c r="N184" s="6">
        <v>127330</v>
      </c>
    </row>
    <row r="185" spans="1:17" x14ac:dyDescent="0.2">
      <c r="A185" s="4" t="s">
        <v>14</v>
      </c>
      <c r="B185" s="4" t="s">
        <v>666</v>
      </c>
      <c r="C185" s="4">
        <v>7784920</v>
      </c>
      <c r="D185" s="5">
        <v>45943</v>
      </c>
      <c r="E185" s="4">
        <v>900219834</v>
      </c>
      <c r="F185" s="4" t="s">
        <v>439</v>
      </c>
      <c r="G185" s="4">
        <v>901907732</v>
      </c>
      <c r="H185" s="4" t="s">
        <v>444</v>
      </c>
      <c r="I185" s="6">
        <v>3361.34</v>
      </c>
      <c r="J185" s="6">
        <v>638.66</v>
      </c>
      <c r="K185" s="6">
        <v>0</v>
      </c>
      <c r="L185" s="6">
        <v>0</v>
      </c>
      <c r="M185" s="6">
        <v>0</v>
      </c>
      <c r="N185" s="6">
        <v>4000</v>
      </c>
    </row>
    <row r="186" spans="1:17" x14ac:dyDescent="0.2">
      <c r="A186" s="4" t="s">
        <v>14</v>
      </c>
      <c r="B186" s="4" t="s">
        <v>667</v>
      </c>
      <c r="C186" s="4">
        <v>1273</v>
      </c>
      <c r="D186" s="5">
        <v>45941</v>
      </c>
      <c r="E186" s="4">
        <v>93397337</v>
      </c>
      <c r="F186" s="4" t="s">
        <v>525</v>
      </c>
      <c r="G186" s="4">
        <v>901907732</v>
      </c>
      <c r="H186" s="4" t="s">
        <v>16</v>
      </c>
      <c r="I186" s="6">
        <v>100000</v>
      </c>
      <c r="J186" s="6">
        <v>0</v>
      </c>
      <c r="K186" s="6">
        <v>0</v>
      </c>
      <c r="L186" s="6">
        <v>0</v>
      </c>
      <c r="M186" s="6">
        <v>0</v>
      </c>
      <c r="N186" s="6">
        <v>100000</v>
      </c>
    </row>
    <row r="187" spans="1:17" x14ac:dyDescent="0.2">
      <c r="A187" s="4" t="s">
        <v>14</v>
      </c>
      <c r="B187" s="4" t="s">
        <v>668</v>
      </c>
      <c r="C187" s="4">
        <v>153704258</v>
      </c>
      <c r="D187" s="5">
        <v>45941</v>
      </c>
      <c r="E187" s="4">
        <v>830114921</v>
      </c>
      <c r="F187" s="4" t="s">
        <v>459</v>
      </c>
      <c r="G187" s="4">
        <v>901907732</v>
      </c>
      <c r="H187" s="4" t="s">
        <v>460</v>
      </c>
      <c r="I187" s="6">
        <v>49097.96</v>
      </c>
      <c r="J187" s="6">
        <v>9328.6200000000008</v>
      </c>
      <c r="K187" s="6">
        <v>0</v>
      </c>
      <c r="L187" s="6">
        <v>924.42</v>
      </c>
      <c r="M187" s="6">
        <v>0</v>
      </c>
      <c r="N187" s="6">
        <v>59351</v>
      </c>
    </row>
    <row r="188" spans="1:17" x14ac:dyDescent="0.2">
      <c r="A188" s="4" t="s">
        <v>14</v>
      </c>
      <c r="B188" s="4" t="s">
        <v>669</v>
      </c>
      <c r="C188" s="4">
        <v>12863</v>
      </c>
      <c r="D188" s="5">
        <v>45940</v>
      </c>
      <c r="E188" s="4">
        <v>700108357</v>
      </c>
      <c r="F188" s="4" t="s">
        <v>470</v>
      </c>
      <c r="G188" s="4">
        <v>901907732</v>
      </c>
      <c r="H188" s="4" t="s">
        <v>471</v>
      </c>
      <c r="I188" s="6">
        <v>400000</v>
      </c>
      <c r="J188" s="6">
        <v>0</v>
      </c>
      <c r="K188" s="6">
        <v>0</v>
      </c>
      <c r="L188" s="6">
        <v>0</v>
      </c>
      <c r="M188" s="6">
        <v>0</v>
      </c>
      <c r="N188" s="6">
        <v>400000</v>
      </c>
      <c r="O188" s="16">
        <f>+I188*3.5%</f>
        <v>14000.000000000002</v>
      </c>
    </row>
    <row r="189" spans="1:17" x14ac:dyDescent="0.2">
      <c r="A189" s="4" t="s">
        <v>14</v>
      </c>
      <c r="B189" s="4" t="s">
        <v>670</v>
      </c>
      <c r="C189" s="4">
        <v>7380</v>
      </c>
      <c r="D189" s="5">
        <v>45940</v>
      </c>
      <c r="E189" s="4">
        <v>900762275</v>
      </c>
      <c r="F189" s="4" t="s">
        <v>532</v>
      </c>
      <c r="G189" s="4">
        <v>901907732</v>
      </c>
      <c r="H189" s="4" t="s">
        <v>16</v>
      </c>
      <c r="I189" s="6">
        <v>257764.82</v>
      </c>
      <c r="J189" s="6">
        <v>0</v>
      </c>
      <c r="K189" s="6">
        <v>0</v>
      </c>
      <c r="L189" s="6">
        <v>0</v>
      </c>
      <c r="M189" s="6">
        <v>0</v>
      </c>
      <c r="N189" s="6">
        <v>257764.82</v>
      </c>
    </row>
    <row r="190" spans="1:17" x14ac:dyDescent="0.2">
      <c r="A190" s="4" t="s">
        <v>14</v>
      </c>
      <c r="B190" s="4" t="s">
        <v>671</v>
      </c>
      <c r="C190" s="4">
        <v>1146</v>
      </c>
      <c r="D190" s="5">
        <v>45940</v>
      </c>
      <c r="E190" s="4">
        <v>901718849</v>
      </c>
      <c r="F190" s="4" t="s">
        <v>646</v>
      </c>
      <c r="G190" s="4">
        <v>901907732</v>
      </c>
      <c r="H190" s="4" t="s">
        <v>16</v>
      </c>
      <c r="I190" s="6">
        <v>770000</v>
      </c>
      <c r="J190" s="6">
        <v>0</v>
      </c>
      <c r="K190" s="6">
        <v>0</v>
      </c>
      <c r="L190" s="6">
        <v>0</v>
      </c>
      <c r="M190" s="6">
        <v>0</v>
      </c>
      <c r="N190" s="6">
        <v>770000</v>
      </c>
    </row>
    <row r="191" spans="1:17" x14ac:dyDescent="0.2">
      <c r="A191" s="4" t="s">
        <v>14</v>
      </c>
      <c r="B191" s="4" t="s">
        <v>672</v>
      </c>
      <c r="C191" s="4">
        <v>574810</v>
      </c>
      <c r="D191" s="5">
        <v>45939</v>
      </c>
      <c r="E191" s="4">
        <v>800091549</v>
      </c>
      <c r="F191" s="4" t="s">
        <v>408</v>
      </c>
      <c r="G191" s="4">
        <v>901907732</v>
      </c>
      <c r="H191" s="4" t="s">
        <v>427</v>
      </c>
      <c r="I191" s="6">
        <v>843715</v>
      </c>
      <c r="J191" s="6">
        <v>0</v>
      </c>
      <c r="K191" s="6">
        <v>0</v>
      </c>
      <c r="L191" s="6">
        <v>0</v>
      </c>
      <c r="M191" s="6">
        <v>0</v>
      </c>
      <c r="N191" s="6">
        <v>843715</v>
      </c>
    </row>
    <row r="192" spans="1:17" x14ac:dyDescent="0.2">
      <c r="A192" s="4" t="s">
        <v>14</v>
      </c>
      <c r="B192" s="4" t="s">
        <v>673</v>
      </c>
      <c r="C192" s="4">
        <v>574809</v>
      </c>
      <c r="D192" s="5">
        <v>45939</v>
      </c>
      <c r="E192" s="4">
        <v>800091549</v>
      </c>
      <c r="F192" s="4" t="s">
        <v>408</v>
      </c>
      <c r="G192" s="4">
        <v>901907732</v>
      </c>
      <c r="H192" s="4" t="s">
        <v>427</v>
      </c>
      <c r="I192" s="6">
        <v>1048595</v>
      </c>
      <c r="J192" s="6">
        <v>0</v>
      </c>
      <c r="K192" s="6">
        <v>0</v>
      </c>
      <c r="L192" s="6">
        <v>0</v>
      </c>
      <c r="M192" s="6">
        <v>0</v>
      </c>
      <c r="N192" s="6">
        <v>1048595</v>
      </c>
    </row>
    <row r="193" spans="1:15" x14ac:dyDescent="0.2">
      <c r="A193" s="4" t="s">
        <v>14</v>
      </c>
      <c r="B193" s="4" t="s">
        <v>674</v>
      </c>
      <c r="C193" s="4">
        <v>574808</v>
      </c>
      <c r="D193" s="5">
        <v>45939</v>
      </c>
      <c r="E193" s="4">
        <v>800091549</v>
      </c>
      <c r="F193" s="4" t="s">
        <v>408</v>
      </c>
      <c r="G193" s="4">
        <v>901907732</v>
      </c>
      <c r="H193" s="4" t="s">
        <v>427</v>
      </c>
      <c r="I193" s="6">
        <v>314376</v>
      </c>
      <c r="J193" s="6">
        <v>0</v>
      </c>
      <c r="K193" s="6">
        <v>0</v>
      </c>
      <c r="L193" s="6">
        <v>0</v>
      </c>
      <c r="M193" s="6">
        <v>0</v>
      </c>
      <c r="N193" s="6">
        <v>314376</v>
      </c>
    </row>
    <row r="194" spans="1:15" x14ac:dyDescent="0.2">
      <c r="A194" s="4" t="s">
        <v>14</v>
      </c>
      <c r="B194" s="4" t="s">
        <v>675</v>
      </c>
      <c r="C194" s="4">
        <v>574807</v>
      </c>
      <c r="D194" s="5">
        <v>45939</v>
      </c>
      <c r="E194" s="4">
        <v>800091549</v>
      </c>
      <c r="F194" s="4" t="s">
        <v>408</v>
      </c>
      <c r="G194" s="4">
        <v>901907732</v>
      </c>
      <c r="H194" s="4" t="s">
        <v>427</v>
      </c>
      <c r="I194" s="6">
        <v>553644</v>
      </c>
      <c r="J194" s="6">
        <v>0</v>
      </c>
      <c r="K194" s="6">
        <v>0</v>
      </c>
      <c r="L194" s="6">
        <v>0</v>
      </c>
      <c r="M194" s="6">
        <v>0</v>
      </c>
      <c r="N194" s="6">
        <v>553644</v>
      </c>
    </row>
    <row r="195" spans="1:15" x14ac:dyDescent="0.2">
      <c r="A195" s="4" t="s">
        <v>14</v>
      </c>
      <c r="B195" s="4" t="s">
        <v>676</v>
      </c>
      <c r="C195" s="4">
        <v>574806</v>
      </c>
      <c r="D195" s="5">
        <v>45939</v>
      </c>
      <c r="E195" s="4">
        <v>800091549</v>
      </c>
      <c r="F195" s="4" t="s">
        <v>408</v>
      </c>
      <c r="G195" s="4">
        <v>901907732</v>
      </c>
      <c r="H195" s="4" t="s">
        <v>427</v>
      </c>
      <c r="I195" s="6">
        <v>231511</v>
      </c>
      <c r="J195" s="6">
        <v>0</v>
      </c>
      <c r="K195" s="6">
        <v>0</v>
      </c>
      <c r="L195" s="6">
        <v>0</v>
      </c>
      <c r="M195" s="6">
        <v>0</v>
      </c>
      <c r="N195" s="6">
        <v>231511</v>
      </c>
    </row>
    <row r="196" spans="1:15" x14ac:dyDescent="0.2">
      <c r="A196" s="4" t="s">
        <v>14</v>
      </c>
      <c r="B196" s="4" t="s">
        <v>677</v>
      </c>
      <c r="C196" s="4">
        <v>574805</v>
      </c>
      <c r="D196" s="5">
        <v>45939</v>
      </c>
      <c r="E196" s="4">
        <v>800091549</v>
      </c>
      <c r="F196" s="4" t="s">
        <v>408</v>
      </c>
      <c r="G196" s="4">
        <v>901907732</v>
      </c>
      <c r="H196" s="4" t="s">
        <v>427</v>
      </c>
      <c r="I196" s="6">
        <v>136934</v>
      </c>
      <c r="J196" s="6">
        <v>0</v>
      </c>
      <c r="K196" s="6">
        <v>0</v>
      </c>
      <c r="L196" s="6">
        <v>0</v>
      </c>
      <c r="M196" s="6">
        <v>0</v>
      </c>
      <c r="N196" s="6">
        <v>136934</v>
      </c>
    </row>
    <row r="197" spans="1:15" x14ac:dyDescent="0.2">
      <c r="A197" s="4" t="s">
        <v>14</v>
      </c>
      <c r="B197" s="4" t="s">
        <v>678</v>
      </c>
      <c r="C197" s="4">
        <v>574804</v>
      </c>
      <c r="D197" s="5">
        <v>45939</v>
      </c>
      <c r="E197" s="4">
        <v>800091549</v>
      </c>
      <c r="F197" s="4" t="s">
        <v>408</v>
      </c>
      <c r="G197" s="4">
        <v>901907732</v>
      </c>
      <c r="H197" s="4" t="s">
        <v>427</v>
      </c>
      <c r="I197" s="6">
        <v>335815</v>
      </c>
      <c r="J197" s="6">
        <v>0</v>
      </c>
      <c r="K197" s="6">
        <v>0</v>
      </c>
      <c r="L197" s="6">
        <v>0</v>
      </c>
      <c r="M197" s="6">
        <v>0</v>
      </c>
      <c r="N197" s="6">
        <v>335815</v>
      </c>
    </row>
    <row r="198" spans="1:15" x14ac:dyDescent="0.2">
      <c r="A198" s="4" t="s">
        <v>14</v>
      </c>
      <c r="B198" s="4" t="s">
        <v>679</v>
      </c>
      <c r="C198" s="4">
        <v>574803</v>
      </c>
      <c r="D198" s="5">
        <v>45939</v>
      </c>
      <c r="E198" s="4">
        <v>800091549</v>
      </c>
      <c r="F198" s="4" t="s">
        <v>408</v>
      </c>
      <c r="G198" s="4">
        <v>901907732</v>
      </c>
      <c r="H198" s="4" t="s">
        <v>427</v>
      </c>
      <c r="I198" s="6">
        <v>455846</v>
      </c>
      <c r="J198" s="6">
        <v>0</v>
      </c>
      <c r="K198" s="6">
        <v>0</v>
      </c>
      <c r="L198" s="6">
        <v>0</v>
      </c>
      <c r="M198" s="6">
        <v>0</v>
      </c>
      <c r="N198" s="6">
        <v>455846</v>
      </c>
    </row>
    <row r="199" spans="1:15" x14ac:dyDescent="0.2">
      <c r="A199" s="4" t="s">
        <v>14</v>
      </c>
      <c r="B199" s="4" t="s">
        <v>680</v>
      </c>
      <c r="C199" s="4">
        <v>574783</v>
      </c>
      <c r="D199" s="5">
        <v>45939</v>
      </c>
      <c r="E199" s="4">
        <v>800091549</v>
      </c>
      <c r="F199" s="4" t="s">
        <v>408</v>
      </c>
      <c r="G199" s="4">
        <v>901907732</v>
      </c>
      <c r="H199" s="4" t="s">
        <v>427</v>
      </c>
      <c r="I199" s="6">
        <v>2711988</v>
      </c>
      <c r="J199" s="6">
        <v>0</v>
      </c>
      <c r="K199" s="6">
        <v>0</v>
      </c>
      <c r="L199" s="6">
        <v>0</v>
      </c>
      <c r="M199" s="6">
        <v>0</v>
      </c>
      <c r="N199" s="6">
        <v>2711988</v>
      </c>
    </row>
    <row r="200" spans="1:15" x14ac:dyDescent="0.2">
      <c r="A200" s="4" t="s">
        <v>14</v>
      </c>
      <c r="B200" s="4" t="s">
        <v>681</v>
      </c>
      <c r="C200" s="4">
        <v>574781</v>
      </c>
      <c r="D200" s="5">
        <v>45939</v>
      </c>
      <c r="E200" s="4">
        <v>800091549</v>
      </c>
      <c r="F200" s="4" t="s">
        <v>408</v>
      </c>
      <c r="G200" s="4">
        <v>901907732</v>
      </c>
      <c r="H200" s="4" t="s">
        <v>427</v>
      </c>
      <c r="I200" s="6">
        <v>128376</v>
      </c>
      <c r="J200" s="6">
        <v>0</v>
      </c>
      <c r="K200" s="6">
        <v>0</v>
      </c>
      <c r="L200" s="6">
        <v>0</v>
      </c>
      <c r="M200" s="6">
        <v>0</v>
      </c>
      <c r="N200" s="6">
        <v>128376</v>
      </c>
    </row>
    <row r="201" spans="1:15" x14ac:dyDescent="0.2">
      <c r="A201" s="4" t="s">
        <v>14</v>
      </c>
      <c r="B201" s="4" t="s">
        <v>682</v>
      </c>
      <c r="C201" s="4">
        <v>574780</v>
      </c>
      <c r="D201" s="5">
        <v>45939</v>
      </c>
      <c r="E201" s="4">
        <v>800091549</v>
      </c>
      <c r="F201" s="4" t="s">
        <v>408</v>
      </c>
      <c r="G201" s="4">
        <v>901907732</v>
      </c>
      <c r="H201" s="4" t="s">
        <v>427</v>
      </c>
      <c r="I201" s="6">
        <v>815084</v>
      </c>
      <c r="J201" s="6">
        <v>0</v>
      </c>
      <c r="K201" s="6">
        <v>0</v>
      </c>
      <c r="L201" s="6">
        <v>0</v>
      </c>
      <c r="M201" s="6">
        <v>0</v>
      </c>
      <c r="N201" s="6">
        <v>815084</v>
      </c>
    </row>
    <row r="202" spans="1:15" x14ac:dyDescent="0.2">
      <c r="A202" s="4" t="s">
        <v>14</v>
      </c>
      <c r="B202" s="4" t="s">
        <v>683</v>
      </c>
      <c r="C202" s="4">
        <v>11062</v>
      </c>
      <c r="D202" s="5">
        <v>45939</v>
      </c>
      <c r="E202" s="4">
        <v>901476410</v>
      </c>
      <c r="F202" s="4" t="s">
        <v>473</v>
      </c>
      <c r="G202" s="4">
        <v>901907732</v>
      </c>
      <c r="H202" s="4" t="s">
        <v>16</v>
      </c>
      <c r="I202" s="6">
        <v>12941</v>
      </c>
      <c r="J202" s="6">
        <v>2459</v>
      </c>
      <c r="K202" s="6">
        <v>0</v>
      </c>
      <c r="L202" s="6">
        <v>0</v>
      </c>
      <c r="M202" s="6">
        <v>0</v>
      </c>
      <c r="N202" s="6">
        <v>15400</v>
      </c>
      <c r="O202" s="16">
        <f>+I202*2.5%</f>
        <v>323.52500000000003</v>
      </c>
    </row>
    <row r="203" spans="1:15" x14ac:dyDescent="0.2">
      <c r="A203" s="4" t="s">
        <v>14</v>
      </c>
      <c r="B203" s="4" t="s">
        <v>684</v>
      </c>
      <c r="C203" s="4">
        <v>189900</v>
      </c>
      <c r="D203" s="5">
        <v>45939</v>
      </c>
      <c r="E203" s="4">
        <v>901192317</v>
      </c>
      <c r="F203" s="4" t="s">
        <v>492</v>
      </c>
      <c r="G203" s="4">
        <v>901907732</v>
      </c>
      <c r="H203" s="4" t="s">
        <v>16</v>
      </c>
      <c r="I203" s="6">
        <v>333442.15000000002</v>
      </c>
      <c r="J203" s="6">
        <v>63355</v>
      </c>
      <c r="K203" s="6">
        <v>0</v>
      </c>
      <c r="L203" s="6">
        <v>0</v>
      </c>
      <c r="M203" s="6">
        <v>0</v>
      </c>
      <c r="N203" s="6">
        <v>396797.15</v>
      </c>
    </row>
    <row r="204" spans="1:15" x14ac:dyDescent="0.2">
      <c r="A204" s="4" t="s">
        <v>14</v>
      </c>
      <c r="B204" s="4" t="s">
        <v>685</v>
      </c>
      <c r="C204" s="4">
        <v>8461244</v>
      </c>
      <c r="D204" s="5">
        <v>45936</v>
      </c>
      <c r="E204" s="4">
        <v>900219834</v>
      </c>
      <c r="F204" s="4" t="s">
        <v>439</v>
      </c>
      <c r="G204" s="4">
        <v>901907732</v>
      </c>
      <c r="H204" s="4" t="s">
        <v>440</v>
      </c>
      <c r="I204" s="6">
        <v>3949.58</v>
      </c>
      <c r="J204" s="6">
        <v>750.42</v>
      </c>
      <c r="K204" s="6">
        <v>0</v>
      </c>
      <c r="L204" s="6">
        <v>0</v>
      </c>
      <c r="M204" s="6">
        <v>0</v>
      </c>
      <c r="N204" s="6">
        <v>4700</v>
      </c>
    </row>
    <row r="205" spans="1:15" x14ac:dyDescent="0.2">
      <c r="A205" s="4" t="s">
        <v>14</v>
      </c>
      <c r="B205" s="4" t="s">
        <v>686</v>
      </c>
      <c r="C205" s="4">
        <v>7224</v>
      </c>
      <c r="D205" s="5">
        <v>45933</v>
      </c>
      <c r="E205" s="4">
        <v>900762275</v>
      </c>
      <c r="F205" s="4" t="s">
        <v>532</v>
      </c>
      <c r="G205" s="4">
        <v>901907732</v>
      </c>
      <c r="H205" s="4" t="s">
        <v>16</v>
      </c>
      <c r="I205" s="6">
        <v>869430</v>
      </c>
      <c r="J205" s="6">
        <v>0</v>
      </c>
      <c r="K205" s="6">
        <v>0</v>
      </c>
      <c r="L205" s="6">
        <v>0</v>
      </c>
      <c r="M205" s="6">
        <v>0</v>
      </c>
      <c r="N205" s="6">
        <v>869430</v>
      </c>
    </row>
    <row r="206" spans="1:15" x14ac:dyDescent="0.2">
      <c r="A206" s="4" t="s">
        <v>14</v>
      </c>
      <c r="B206" s="4" t="s">
        <v>687</v>
      </c>
      <c r="C206" s="4">
        <v>12816</v>
      </c>
      <c r="D206" s="5">
        <v>45933</v>
      </c>
      <c r="E206" s="4">
        <v>700108357</v>
      </c>
      <c r="F206" s="4" t="s">
        <v>470</v>
      </c>
      <c r="G206" s="4">
        <v>901907732</v>
      </c>
      <c r="H206" s="4" t="s">
        <v>471</v>
      </c>
      <c r="I206" s="6">
        <v>426000</v>
      </c>
      <c r="J206" s="6">
        <v>0</v>
      </c>
      <c r="K206" s="6">
        <v>0</v>
      </c>
      <c r="L206" s="6">
        <v>0</v>
      </c>
      <c r="M206" s="6">
        <v>0</v>
      </c>
      <c r="N206" s="6">
        <v>426000</v>
      </c>
      <c r="O206" s="16">
        <f>+I206*3.5%</f>
        <v>14910.000000000002</v>
      </c>
    </row>
    <row r="207" spans="1:15" x14ac:dyDescent="0.2">
      <c r="A207" s="4" t="s">
        <v>14</v>
      </c>
      <c r="B207" s="4" t="s">
        <v>688</v>
      </c>
      <c r="C207" s="4">
        <v>1272</v>
      </c>
      <c r="D207" s="5">
        <v>45933</v>
      </c>
      <c r="E207" s="4">
        <v>93397337</v>
      </c>
      <c r="F207" s="4" t="s">
        <v>525</v>
      </c>
      <c r="G207" s="4">
        <v>901907732</v>
      </c>
      <c r="H207" s="4" t="s">
        <v>16</v>
      </c>
      <c r="I207" s="6">
        <v>100000</v>
      </c>
      <c r="J207" s="6">
        <v>0</v>
      </c>
      <c r="K207" s="6">
        <v>0</v>
      </c>
      <c r="L207" s="6">
        <v>0</v>
      </c>
      <c r="M207" s="6">
        <v>0</v>
      </c>
      <c r="N207" s="6">
        <v>100000</v>
      </c>
    </row>
    <row r="208" spans="1:15" x14ac:dyDescent="0.2">
      <c r="A208" s="4" t="s">
        <v>442</v>
      </c>
      <c r="B208" s="4" t="s">
        <v>689</v>
      </c>
      <c r="C208" s="4">
        <v>59161248</v>
      </c>
      <c r="D208" s="5">
        <v>45930</v>
      </c>
      <c r="E208" s="4">
        <v>900219834</v>
      </c>
      <c r="F208" s="4" t="s">
        <v>439</v>
      </c>
      <c r="G208" s="4">
        <v>901907732</v>
      </c>
      <c r="H208" s="4" t="s">
        <v>444</v>
      </c>
      <c r="I208" s="6">
        <v>12900</v>
      </c>
      <c r="J208" s="6">
        <v>0</v>
      </c>
      <c r="K208" s="6">
        <v>0</v>
      </c>
      <c r="L208" s="6">
        <v>0</v>
      </c>
      <c r="M208" s="6">
        <v>0</v>
      </c>
      <c r="N208" s="6">
        <v>12900</v>
      </c>
    </row>
    <row r="209" spans="1:15" x14ac:dyDescent="0.2">
      <c r="A209" s="4" t="s">
        <v>442</v>
      </c>
      <c r="B209" s="4" t="s">
        <v>690</v>
      </c>
      <c r="C209" s="4">
        <v>59111239</v>
      </c>
      <c r="D209" s="5">
        <v>45930</v>
      </c>
      <c r="E209" s="4">
        <v>900219834</v>
      </c>
      <c r="F209" s="4" t="s">
        <v>439</v>
      </c>
      <c r="G209" s="4">
        <v>901907732</v>
      </c>
      <c r="H209" s="4" t="s">
        <v>444</v>
      </c>
      <c r="I209" s="6">
        <v>12900</v>
      </c>
      <c r="J209" s="6">
        <v>0</v>
      </c>
      <c r="K209" s="6">
        <v>0</v>
      </c>
      <c r="L209" s="6">
        <v>0</v>
      </c>
      <c r="M209" s="6">
        <v>0</v>
      </c>
      <c r="N209" s="6">
        <v>12900</v>
      </c>
    </row>
    <row r="210" spans="1:15" x14ac:dyDescent="0.2">
      <c r="A210" s="4" t="s">
        <v>14</v>
      </c>
      <c r="B210" s="4" t="s">
        <v>691</v>
      </c>
      <c r="C210" s="4">
        <v>200865</v>
      </c>
      <c r="D210" s="5">
        <v>45930</v>
      </c>
      <c r="E210" s="4">
        <v>890941794</v>
      </c>
      <c r="F210" s="4" t="s">
        <v>515</v>
      </c>
      <c r="G210" s="4">
        <v>901907732</v>
      </c>
      <c r="H210" s="4" t="s">
        <v>16</v>
      </c>
      <c r="I210" s="6">
        <v>208853</v>
      </c>
      <c r="J210" s="6">
        <v>39682.07</v>
      </c>
      <c r="K210" s="6">
        <v>0</v>
      </c>
      <c r="L210" s="6">
        <v>0</v>
      </c>
      <c r="M210" s="6">
        <v>0</v>
      </c>
      <c r="N210" s="6">
        <v>248535.07</v>
      </c>
    </row>
    <row r="211" spans="1:15" x14ac:dyDescent="0.2">
      <c r="A211" s="4" t="s">
        <v>14</v>
      </c>
      <c r="B211" s="4" t="s">
        <v>692</v>
      </c>
      <c r="C211" s="4">
        <v>265426</v>
      </c>
      <c r="D211" s="5">
        <v>45928</v>
      </c>
      <c r="E211" s="4">
        <v>900188685</v>
      </c>
      <c r="F211" s="4" t="s">
        <v>536</v>
      </c>
      <c r="G211" s="4">
        <v>901907732</v>
      </c>
      <c r="H211" s="4" t="s">
        <v>16</v>
      </c>
      <c r="I211" s="6">
        <v>81510</v>
      </c>
      <c r="J211" s="6">
        <v>15486.9</v>
      </c>
      <c r="K211" s="6">
        <v>0</v>
      </c>
      <c r="L211" s="6">
        <v>0</v>
      </c>
      <c r="M211" s="6">
        <v>0</v>
      </c>
      <c r="N211" s="6">
        <v>96996.9</v>
      </c>
    </row>
    <row r="212" spans="1:15" x14ac:dyDescent="0.2">
      <c r="A212" s="4" t="s">
        <v>77</v>
      </c>
      <c r="B212" s="4" t="s">
        <v>693</v>
      </c>
      <c r="C212" s="4">
        <v>25837</v>
      </c>
      <c r="D212" s="5">
        <v>45927</v>
      </c>
      <c r="E212" s="4">
        <v>900188685</v>
      </c>
      <c r="F212" s="4" t="s">
        <v>536</v>
      </c>
      <c r="G212" s="4">
        <v>901907732</v>
      </c>
      <c r="H212" s="4" t="s">
        <v>16</v>
      </c>
      <c r="I212" s="6">
        <v>-188232</v>
      </c>
      <c r="J212" s="6">
        <v>-35764.080000000002</v>
      </c>
      <c r="K212" s="6">
        <v>0</v>
      </c>
      <c r="L212" s="6">
        <v>0</v>
      </c>
      <c r="M212" s="6">
        <v>0</v>
      </c>
      <c r="N212" s="6">
        <v>-223996.08</v>
      </c>
    </row>
    <row r="213" spans="1:15" x14ac:dyDescent="0.2">
      <c r="A213" s="4" t="s">
        <v>14</v>
      </c>
      <c r="B213" s="4" t="s">
        <v>694</v>
      </c>
      <c r="C213" s="4">
        <v>583357</v>
      </c>
      <c r="D213" s="5">
        <v>45927</v>
      </c>
      <c r="E213" s="4">
        <v>900188685</v>
      </c>
      <c r="F213" s="4" t="s">
        <v>536</v>
      </c>
      <c r="G213" s="4">
        <v>901907732</v>
      </c>
      <c r="H213" s="4" t="s">
        <v>16</v>
      </c>
      <c r="I213" s="6">
        <v>142504.20000000001</v>
      </c>
      <c r="J213" s="6">
        <v>27075.81</v>
      </c>
      <c r="K213" s="6">
        <v>0</v>
      </c>
      <c r="L213" s="6">
        <v>0</v>
      </c>
      <c r="M213" s="6">
        <v>0</v>
      </c>
      <c r="N213" s="6">
        <v>169580.01</v>
      </c>
    </row>
    <row r="214" spans="1:15" x14ac:dyDescent="0.2">
      <c r="A214" s="4" t="s">
        <v>14</v>
      </c>
      <c r="B214" s="4" t="s">
        <v>695</v>
      </c>
      <c r="C214" s="4">
        <v>583356</v>
      </c>
      <c r="D214" s="5">
        <v>45927</v>
      </c>
      <c r="E214" s="4">
        <v>900188685</v>
      </c>
      <c r="F214" s="4" t="s">
        <v>536</v>
      </c>
      <c r="G214" s="4">
        <v>901907732</v>
      </c>
      <c r="H214" s="4" t="s">
        <v>16</v>
      </c>
      <c r="I214" s="6">
        <v>444500.89999999997</v>
      </c>
      <c r="J214" s="6">
        <v>84455.17</v>
      </c>
      <c r="K214" s="6">
        <v>0</v>
      </c>
      <c r="L214" s="6">
        <v>0</v>
      </c>
      <c r="M214" s="6">
        <v>0</v>
      </c>
      <c r="N214" s="6">
        <v>528956.06999999995</v>
      </c>
    </row>
    <row r="215" spans="1:15" x14ac:dyDescent="0.2">
      <c r="A215" s="4" t="s">
        <v>14</v>
      </c>
      <c r="B215" s="4" t="s">
        <v>696</v>
      </c>
      <c r="C215" s="4">
        <v>10776</v>
      </c>
      <c r="D215" s="5">
        <v>45927</v>
      </c>
      <c r="E215" s="4">
        <v>901476410</v>
      </c>
      <c r="F215" s="4" t="s">
        <v>473</v>
      </c>
      <c r="G215" s="4">
        <v>901907732</v>
      </c>
      <c r="H215" s="4" t="s">
        <v>16</v>
      </c>
      <c r="I215" s="6">
        <v>389496</v>
      </c>
      <c r="J215" s="6">
        <v>74004</v>
      </c>
      <c r="K215" s="6">
        <v>0</v>
      </c>
      <c r="L215" s="6">
        <v>0</v>
      </c>
      <c r="M215" s="6">
        <v>0</v>
      </c>
      <c r="N215" s="6">
        <v>463500</v>
      </c>
      <c r="O215" s="16">
        <f>+I215*2.5%</f>
        <v>9737.4</v>
      </c>
    </row>
    <row r="216" spans="1:15" x14ac:dyDescent="0.2">
      <c r="A216" s="4" t="s">
        <v>14</v>
      </c>
      <c r="B216" s="4" t="s">
        <v>697</v>
      </c>
      <c r="C216" s="4">
        <v>226808</v>
      </c>
      <c r="D216" s="5">
        <v>45927</v>
      </c>
      <c r="E216" s="4">
        <v>900276962</v>
      </c>
      <c r="F216" s="4" t="s">
        <v>551</v>
      </c>
      <c r="G216" s="4">
        <v>901907732</v>
      </c>
      <c r="H216" s="4" t="s">
        <v>552</v>
      </c>
      <c r="I216" s="6">
        <v>193532.87</v>
      </c>
      <c r="J216" s="6">
        <v>35348.129999999997</v>
      </c>
      <c r="K216" s="6">
        <v>4260</v>
      </c>
      <c r="L216" s="6">
        <v>0</v>
      </c>
      <c r="M216" s="6">
        <v>159</v>
      </c>
      <c r="N216" s="6">
        <v>233300</v>
      </c>
    </row>
    <row r="217" spans="1:15" x14ac:dyDescent="0.2">
      <c r="A217" s="4" t="s">
        <v>14</v>
      </c>
      <c r="B217" s="4" t="s">
        <v>698</v>
      </c>
      <c r="C217" s="4">
        <v>12767</v>
      </c>
      <c r="D217" s="5">
        <v>45926</v>
      </c>
      <c r="E217" s="4">
        <v>700108357</v>
      </c>
      <c r="F217" s="4" t="s">
        <v>470</v>
      </c>
      <c r="G217" s="4">
        <v>901907732</v>
      </c>
      <c r="H217" s="4" t="s">
        <v>471</v>
      </c>
      <c r="I217" s="6">
        <v>280000</v>
      </c>
      <c r="J217" s="6">
        <v>0</v>
      </c>
      <c r="K217" s="6">
        <v>0</v>
      </c>
      <c r="L217" s="6">
        <v>0</v>
      </c>
      <c r="M217" s="6">
        <v>0</v>
      </c>
      <c r="N217" s="6">
        <v>280000</v>
      </c>
      <c r="O217" s="16">
        <f>+I217*3.5%</f>
        <v>9800.0000000000018</v>
      </c>
    </row>
    <row r="218" spans="1:15" x14ac:dyDescent="0.2">
      <c r="A218" s="4" t="s">
        <v>14</v>
      </c>
      <c r="B218" s="4" t="s">
        <v>699</v>
      </c>
      <c r="C218" s="4">
        <v>80765</v>
      </c>
      <c r="D218" s="5">
        <v>45926</v>
      </c>
      <c r="E218" s="4">
        <v>890981683</v>
      </c>
      <c r="F218" s="4" t="s">
        <v>700</v>
      </c>
      <c r="G218" s="4">
        <v>901907732</v>
      </c>
      <c r="H218" s="4" t="s">
        <v>16</v>
      </c>
      <c r="I218" s="6">
        <v>12016.69</v>
      </c>
      <c r="J218" s="6">
        <v>2283.31</v>
      </c>
      <c r="K218" s="6">
        <v>0</v>
      </c>
      <c r="L218" s="6">
        <v>0</v>
      </c>
      <c r="M218" s="6">
        <v>0</v>
      </c>
      <c r="N218" s="6">
        <v>14300</v>
      </c>
    </row>
    <row r="219" spans="1:15" x14ac:dyDescent="0.2">
      <c r="A219" s="4" t="s">
        <v>14</v>
      </c>
      <c r="B219" s="4" t="s">
        <v>701</v>
      </c>
      <c r="C219" s="4">
        <v>1269</v>
      </c>
      <c r="D219" s="5">
        <v>45926</v>
      </c>
      <c r="E219" s="4">
        <v>93397337</v>
      </c>
      <c r="F219" s="4" t="s">
        <v>525</v>
      </c>
      <c r="G219" s="4">
        <v>901907732</v>
      </c>
      <c r="H219" s="4" t="s">
        <v>16</v>
      </c>
      <c r="I219" s="6">
        <v>200000</v>
      </c>
      <c r="J219" s="6">
        <v>0</v>
      </c>
      <c r="K219" s="6">
        <v>0</v>
      </c>
      <c r="L219" s="6">
        <v>0</v>
      </c>
      <c r="M219" s="6">
        <v>0</v>
      </c>
      <c r="N219" s="6">
        <v>200000</v>
      </c>
    </row>
    <row r="220" spans="1:15" x14ac:dyDescent="0.2">
      <c r="A220" s="4" t="s">
        <v>14</v>
      </c>
      <c r="B220" s="4" t="s">
        <v>702</v>
      </c>
      <c r="C220" s="4">
        <v>187851</v>
      </c>
      <c r="D220" s="5">
        <v>45925</v>
      </c>
      <c r="E220" s="4">
        <v>901192317</v>
      </c>
      <c r="F220" s="4" t="s">
        <v>492</v>
      </c>
      <c r="G220" s="4">
        <v>901907732</v>
      </c>
      <c r="H220" s="4" t="s">
        <v>16</v>
      </c>
      <c r="I220" s="6">
        <v>137263.76</v>
      </c>
      <c r="J220" s="6">
        <v>26081</v>
      </c>
      <c r="K220" s="6">
        <v>0</v>
      </c>
      <c r="L220" s="6">
        <v>0</v>
      </c>
      <c r="M220" s="6">
        <v>0</v>
      </c>
      <c r="N220" s="6">
        <v>163344.76</v>
      </c>
    </row>
    <row r="221" spans="1:15" x14ac:dyDescent="0.2">
      <c r="A221" s="4" t="s">
        <v>14</v>
      </c>
      <c r="B221" s="4" t="s">
        <v>703</v>
      </c>
      <c r="C221" s="4">
        <v>10730</v>
      </c>
      <c r="D221" s="5">
        <v>45925</v>
      </c>
      <c r="E221" s="4">
        <v>901476410</v>
      </c>
      <c r="F221" s="4" t="s">
        <v>473</v>
      </c>
      <c r="G221" s="4">
        <v>901907732</v>
      </c>
      <c r="H221" s="4" t="s">
        <v>16</v>
      </c>
      <c r="I221" s="6">
        <v>446471</v>
      </c>
      <c r="J221" s="6">
        <v>84829</v>
      </c>
      <c r="K221" s="6">
        <v>0</v>
      </c>
      <c r="L221" s="6">
        <v>0</v>
      </c>
      <c r="M221" s="6">
        <v>0</v>
      </c>
      <c r="N221" s="6">
        <v>531300</v>
      </c>
      <c r="O221" s="16">
        <f>+I221*2.5%</f>
        <v>11161.775000000001</v>
      </c>
    </row>
    <row r="222" spans="1:15" x14ac:dyDescent="0.2">
      <c r="A222" s="4" t="s">
        <v>14</v>
      </c>
      <c r="B222" s="4" t="s">
        <v>704</v>
      </c>
      <c r="C222" s="4">
        <v>716</v>
      </c>
      <c r="D222" s="5">
        <v>45925</v>
      </c>
      <c r="E222" s="4">
        <v>901192317</v>
      </c>
      <c r="F222" s="4" t="s">
        <v>492</v>
      </c>
      <c r="G222" s="4">
        <v>901907732</v>
      </c>
      <c r="H222" s="4" t="s">
        <v>16</v>
      </c>
      <c r="I222" s="6">
        <v>1081561.1100000001</v>
      </c>
      <c r="J222" s="6">
        <v>205497</v>
      </c>
      <c r="K222" s="6">
        <v>0</v>
      </c>
      <c r="L222" s="6">
        <v>0</v>
      </c>
      <c r="M222" s="6">
        <v>0</v>
      </c>
      <c r="N222" s="6">
        <v>1287058.1100000001</v>
      </c>
      <c r="O222" s="16">
        <f t="shared" ref="O222" si="2">+I222*2.5%</f>
        <v>27039.027750000005</v>
      </c>
    </row>
    <row r="223" spans="1:15" x14ac:dyDescent="0.2">
      <c r="A223" s="4" t="s">
        <v>14</v>
      </c>
      <c r="B223" s="4" t="s">
        <v>705</v>
      </c>
      <c r="C223" s="4">
        <v>187384</v>
      </c>
      <c r="D223" s="5">
        <v>45923</v>
      </c>
      <c r="E223" s="4">
        <v>901192317</v>
      </c>
      <c r="F223" s="4" t="s">
        <v>492</v>
      </c>
      <c r="G223" s="4">
        <v>901907732</v>
      </c>
      <c r="H223" s="4" t="s">
        <v>16</v>
      </c>
      <c r="I223" s="6">
        <v>127271.1</v>
      </c>
      <c r="J223" s="6">
        <v>24182</v>
      </c>
      <c r="K223" s="6">
        <v>0</v>
      </c>
      <c r="L223" s="6">
        <v>0</v>
      </c>
      <c r="M223" s="6">
        <v>0</v>
      </c>
      <c r="N223" s="6">
        <v>151453.1</v>
      </c>
    </row>
    <row r="224" spans="1:15" x14ac:dyDescent="0.2">
      <c r="A224" s="4" t="s">
        <v>14</v>
      </c>
      <c r="B224" s="4" t="s">
        <v>706</v>
      </c>
      <c r="C224" s="4">
        <v>6910</v>
      </c>
      <c r="D224" s="5">
        <v>45923</v>
      </c>
      <c r="E224" s="4">
        <v>901519900</v>
      </c>
      <c r="F224" s="4" t="s">
        <v>467</v>
      </c>
      <c r="G224" s="4">
        <v>901907732</v>
      </c>
      <c r="H224" s="4" t="s">
        <v>16</v>
      </c>
      <c r="I224" s="6">
        <v>34000</v>
      </c>
      <c r="J224" s="6">
        <v>0</v>
      </c>
      <c r="K224" s="6">
        <v>0</v>
      </c>
      <c r="L224" s="6">
        <v>0</v>
      </c>
      <c r="M224" s="6">
        <v>0</v>
      </c>
      <c r="N224" s="6">
        <v>34000</v>
      </c>
    </row>
    <row r="225" spans="1:17" x14ac:dyDescent="0.2">
      <c r="A225" s="4" t="s">
        <v>14</v>
      </c>
      <c r="B225" s="4" t="s">
        <v>707</v>
      </c>
      <c r="C225" s="4">
        <v>430955</v>
      </c>
      <c r="D225" s="5">
        <v>45922</v>
      </c>
      <c r="E225" s="4">
        <v>900181068</v>
      </c>
      <c r="F225" s="4" t="s">
        <v>708</v>
      </c>
      <c r="G225" s="4">
        <v>901907732</v>
      </c>
      <c r="H225" s="4" t="s">
        <v>16</v>
      </c>
      <c r="I225" s="6">
        <v>100840.34</v>
      </c>
      <c r="J225" s="6">
        <v>19159.66</v>
      </c>
      <c r="K225" s="6">
        <v>0</v>
      </c>
      <c r="L225" s="6">
        <v>0</v>
      </c>
      <c r="M225" s="6">
        <v>0</v>
      </c>
      <c r="N225" s="6">
        <v>120000</v>
      </c>
    </row>
    <row r="226" spans="1:17" x14ac:dyDescent="0.2">
      <c r="A226" s="4" t="s">
        <v>14</v>
      </c>
      <c r="B226" s="4" t="s">
        <v>709</v>
      </c>
      <c r="C226" s="4">
        <v>46127879</v>
      </c>
      <c r="D226" s="5">
        <v>45922</v>
      </c>
      <c r="E226" s="4">
        <v>800251569</v>
      </c>
      <c r="F226" s="4" t="s">
        <v>710</v>
      </c>
      <c r="G226" s="4">
        <v>901907732</v>
      </c>
      <c r="H226" s="4" t="s">
        <v>711</v>
      </c>
      <c r="I226" s="6">
        <v>41300</v>
      </c>
      <c r="J226" s="6">
        <v>0</v>
      </c>
      <c r="K226" s="6">
        <v>0</v>
      </c>
      <c r="L226" s="6">
        <v>0</v>
      </c>
      <c r="M226" s="6">
        <v>0</v>
      </c>
      <c r="N226" s="6">
        <v>41300</v>
      </c>
    </row>
    <row r="227" spans="1:17" x14ac:dyDescent="0.2">
      <c r="A227" s="4" t="s">
        <v>14</v>
      </c>
      <c r="B227" s="4" t="s">
        <v>712</v>
      </c>
      <c r="C227" s="4">
        <v>150585012</v>
      </c>
      <c r="D227" s="5">
        <v>45922</v>
      </c>
      <c r="E227" s="4">
        <v>830114921</v>
      </c>
      <c r="F227" s="4" t="s">
        <v>459</v>
      </c>
      <c r="G227" s="4">
        <v>901907732</v>
      </c>
      <c r="H227" s="4" t="s">
        <v>460</v>
      </c>
      <c r="I227" s="6">
        <v>97975.78</v>
      </c>
      <c r="J227" s="6">
        <v>18615.39</v>
      </c>
      <c r="K227" s="6">
        <v>0</v>
      </c>
      <c r="L227" s="6">
        <v>1848.83</v>
      </c>
      <c r="M227" s="6">
        <v>0</v>
      </c>
      <c r="N227" s="6">
        <v>118440</v>
      </c>
    </row>
    <row r="228" spans="1:17" x14ac:dyDescent="0.2">
      <c r="A228" s="4" t="s">
        <v>14</v>
      </c>
      <c r="B228" s="4" t="s">
        <v>713</v>
      </c>
      <c r="C228" s="4">
        <v>150429540</v>
      </c>
      <c r="D228" s="5">
        <v>45922</v>
      </c>
      <c r="E228" s="4">
        <v>830114921</v>
      </c>
      <c r="F228" s="4" t="s">
        <v>459</v>
      </c>
      <c r="G228" s="4">
        <v>901907732</v>
      </c>
      <c r="H228" s="4" t="s">
        <v>462</v>
      </c>
      <c r="I228" s="6">
        <v>24175.15</v>
      </c>
      <c r="J228" s="6">
        <v>4593.25</v>
      </c>
      <c r="K228" s="6">
        <v>0</v>
      </c>
      <c r="L228" s="6">
        <v>18.600000000000001</v>
      </c>
      <c r="M228" s="6">
        <v>0</v>
      </c>
      <c r="N228" s="6">
        <v>28787</v>
      </c>
    </row>
    <row r="229" spans="1:17" x14ac:dyDescent="0.2">
      <c r="A229" s="4" t="s">
        <v>14</v>
      </c>
      <c r="B229" s="4" t="s">
        <v>714</v>
      </c>
      <c r="C229" s="4">
        <v>150429460</v>
      </c>
      <c r="D229" s="5">
        <v>45922</v>
      </c>
      <c r="E229" s="4">
        <v>830114921</v>
      </c>
      <c r="F229" s="4" t="s">
        <v>459</v>
      </c>
      <c r="G229" s="4">
        <v>901907732</v>
      </c>
      <c r="H229" s="4" t="s">
        <v>464</v>
      </c>
      <c r="I229" s="6">
        <v>68585.240000000005</v>
      </c>
      <c r="J229" s="6">
        <v>13031.22</v>
      </c>
      <c r="K229" s="6">
        <v>0</v>
      </c>
      <c r="L229" s="6">
        <v>1188.54</v>
      </c>
      <c r="M229" s="6">
        <v>0</v>
      </c>
      <c r="N229" s="6">
        <v>82805</v>
      </c>
    </row>
    <row r="230" spans="1:17" x14ac:dyDescent="0.2">
      <c r="A230" s="4" t="s">
        <v>14</v>
      </c>
      <c r="B230" s="4" t="s">
        <v>715</v>
      </c>
      <c r="C230" s="4">
        <v>156227</v>
      </c>
      <c r="D230" s="5">
        <v>45920</v>
      </c>
      <c r="E230" s="4">
        <v>811000784</v>
      </c>
      <c r="F230" s="4" t="s">
        <v>456</v>
      </c>
      <c r="G230" s="4">
        <v>901907732</v>
      </c>
      <c r="H230" s="4" t="s">
        <v>457</v>
      </c>
      <c r="I230" s="6">
        <v>137815.13</v>
      </c>
      <c r="J230" s="6">
        <v>26184.87</v>
      </c>
      <c r="K230" s="6">
        <v>0</v>
      </c>
      <c r="L230" s="6">
        <v>0</v>
      </c>
      <c r="M230" s="6">
        <v>0</v>
      </c>
      <c r="N230" s="6">
        <v>164000</v>
      </c>
    </row>
    <row r="231" spans="1:17" x14ac:dyDescent="0.2">
      <c r="A231" s="4" t="s">
        <v>14</v>
      </c>
      <c r="B231" s="4" t="s">
        <v>716</v>
      </c>
      <c r="C231" s="4">
        <v>7478778</v>
      </c>
      <c r="D231" s="5">
        <v>45920</v>
      </c>
      <c r="E231" s="4">
        <v>900219834</v>
      </c>
      <c r="F231" s="4" t="s">
        <v>439</v>
      </c>
      <c r="G231" s="4">
        <v>901907732</v>
      </c>
      <c r="H231" s="4" t="s">
        <v>444</v>
      </c>
      <c r="I231" s="6">
        <v>5042.0200000000004</v>
      </c>
      <c r="J231" s="6">
        <v>957.98</v>
      </c>
      <c r="K231" s="6">
        <v>0</v>
      </c>
      <c r="L231" s="6">
        <v>0</v>
      </c>
      <c r="M231" s="6">
        <v>0</v>
      </c>
      <c r="N231" s="6">
        <v>6000</v>
      </c>
    </row>
    <row r="232" spans="1:17" x14ac:dyDescent="0.2">
      <c r="A232" s="4" t="s">
        <v>14</v>
      </c>
      <c r="B232" s="4" t="s">
        <v>717</v>
      </c>
      <c r="C232" s="4">
        <v>10602</v>
      </c>
      <c r="D232" s="5">
        <v>45919</v>
      </c>
      <c r="E232" s="4">
        <v>901476410</v>
      </c>
      <c r="F232" s="4" t="s">
        <v>473</v>
      </c>
      <c r="G232" s="4">
        <v>901907732</v>
      </c>
      <c r="H232" s="4" t="s">
        <v>16</v>
      </c>
      <c r="I232" s="6">
        <v>277395</v>
      </c>
      <c r="J232" s="6">
        <v>52705</v>
      </c>
      <c r="K232" s="6">
        <v>0</v>
      </c>
      <c r="L232" s="6">
        <v>0</v>
      </c>
      <c r="M232" s="6">
        <v>0</v>
      </c>
      <c r="N232" s="6">
        <v>330100</v>
      </c>
      <c r="O232" s="16">
        <f>+I232*2.5%</f>
        <v>6934.875</v>
      </c>
    </row>
    <row r="233" spans="1:17" x14ac:dyDescent="0.2">
      <c r="A233" s="4" t="s">
        <v>14</v>
      </c>
      <c r="B233" s="4" t="s">
        <v>718</v>
      </c>
      <c r="C233" s="4">
        <v>12726</v>
      </c>
      <c r="D233" s="5">
        <v>45919</v>
      </c>
      <c r="E233" s="4">
        <v>700108357</v>
      </c>
      <c r="F233" s="4" t="s">
        <v>470</v>
      </c>
      <c r="G233" s="4">
        <v>901907732</v>
      </c>
      <c r="H233" s="4" t="s">
        <v>471</v>
      </c>
      <c r="I233" s="6">
        <v>369000</v>
      </c>
      <c r="J233" s="6">
        <v>0</v>
      </c>
      <c r="K233" s="6">
        <v>0</v>
      </c>
      <c r="L233" s="6">
        <v>0</v>
      </c>
      <c r="M233" s="6">
        <v>0</v>
      </c>
      <c r="N233" s="6">
        <v>369000</v>
      </c>
      <c r="O233" s="16">
        <f>+I233*3.5%</f>
        <v>12915.000000000002</v>
      </c>
    </row>
    <row r="234" spans="1:17" x14ac:dyDescent="0.2">
      <c r="A234" s="4" t="s">
        <v>14</v>
      </c>
      <c r="B234" s="4" t="s">
        <v>719</v>
      </c>
      <c r="C234" s="4">
        <v>1267</v>
      </c>
      <c r="D234" s="5">
        <v>45919</v>
      </c>
      <c r="E234" s="4">
        <v>93397337</v>
      </c>
      <c r="F234" s="4" t="s">
        <v>525</v>
      </c>
      <c r="G234" s="4">
        <v>901907732</v>
      </c>
      <c r="H234" s="4" t="s">
        <v>16</v>
      </c>
      <c r="I234" s="6">
        <v>200000</v>
      </c>
      <c r="J234" s="6">
        <v>0</v>
      </c>
      <c r="K234" s="6">
        <v>0</v>
      </c>
      <c r="L234" s="6">
        <v>0</v>
      </c>
      <c r="M234" s="6">
        <v>0</v>
      </c>
      <c r="N234" s="6">
        <v>200000</v>
      </c>
    </row>
    <row r="235" spans="1:17" x14ac:dyDescent="0.2">
      <c r="A235" s="4" t="s">
        <v>14</v>
      </c>
      <c r="B235" s="4" t="s">
        <v>720</v>
      </c>
      <c r="C235" s="4">
        <v>7453913</v>
      </c>
      <c r="D235" s="5">
        <v>45918</v>
      </c>
      <c r="E235" s="4">
        <v>900219834</v>
      </c>
      <c r="F235" s="4" t="s">
        <v>439</v>
      </c>
      <c r="G235" s="4">
        <v>901907732</v>
      </c>
      <c r="H235" s="4" t="s">
        <v>444</v>
      </c>
      <c r="I235" s="6">
        <v>3781.51</v>
      </c>
      <c r="J235" s="6">
        <v>718.49</v>
      </c>
      <c r="K235" s="6">
        <v>0</v>
      </c>
      <c r="L235" s="6">
        <v>0</v>
      </c>
      <c r="M235" s="6">
        <v>0</v>
      </c>
      <c r="N235" s="6">
        <v>4500</v>
      </c>
    </row>
    <row r="236" spans="1:17" x14ac:dyDescent="0.2">
      <c r="A236" s="4" t="s">
        <v>14</v>
      </c>
      <c r="B236" s="4" t="s">
        <v>721</v>
      </c>
      <c r="C236" s="4">
        <v>3530546</v>
      </c>
      <c r="D236" s="5">
        <v>45918</v>
      </c>
      <c r="E236" s="4">
        <v>890905080</v>
      </c>
      <c r="F236" s="4" t="s">
        <v>722</v>
      </c>
      <c r="G236" s="4">
        <v>901907732</v>
      </c>
      <c r="H236" s="4" t="s">
        <v>16</v>
      </c>
      <c r="I236" s="6">
        <v>23200</v>
      </c>
      <c r="J236" s="6">
        <v>0</v>
      </c>
      <c r="K236" s="6">
        <v>0</v>
      </c>
      <c r="L236" s="6">
        <v>0</v>
      </c>
      <c r="M236" s="6">
        <v>0</v>
      </c>
      <c r="N236" s="6">
        <v>23200</v>
      </c>
    </row>
    <row r="237" spans="1:17" x14ac:dyDescent="0.2">
      <c r="A237" s="4" t="s">
        <v>14</v>
      </c>
      <c r="B237" s="4" t="s">
        <v>723</v>
      </c>
      <c r="C237" s="4">
        <v>621</v>
      </c>
      <c r="D237" s="5">
        <v>45917</v>
      </c>
      <c r="E237" s="4">
        <v>901192317</v>
      </c>
      <c r="F237" s="4" t="s">
        <v>492</v>
      </c>
      <c r="G237" s="4">
        <v>901907732</v>
      </c>
      <c r="H237" s="4" t="s">
        <v>16</v>
      </c>
      <c r="I237" s="6">
        <v>773239.64</v>
      </c>
      <c r="J237" s="6">
        <v>146916</v>
      </c>
      <c r="K237" s="6">
        <v>0</v>
      </c>
      <c r="L237" s="6">
        <v>0</v>
      </c>
      <c r="M237" s="6">
        <v>0</v>
      </c>
      <c r="N237" s="6">
        <v>920155.64</v>
      </c>
      <c r="O237" s="16">
        <f>+I237*2.5%</f>
        <v>19330.991000000002</v>
      </c>
    </row>
    <row r="238" spans="1:17" x14ac:dyDescent="0.2">
      <c r="A238" s="4" t="s">
        <v>14</v>
      </c>
      <c r="B238" s="4" t="s">
        <v>724</v>
      </c>
      <c r="C238" s="4">
        <v>76731</v>
      </c>
      <c r="D238" s="5">
        <v>45916</v>
      </c>
      <c r="E238" s="4">
        <v>830085336</v>
      </c>
      <c r="F238" s="4" t="s">
        <v>449</v>
      </c>
      <c r="G238" s="4">
        <v>901907732</v>
      </c>
      <c r="H238" s="4" t="s">
        <v>450</v>
      </c>
      <c r="I238" s="6">
        <v>528571.43999999994</v>
      </c>
      <c r="J238" s="6">
        <v>100428.57</v>
      </c>
      <c r="K238" s="6">
        <v>0</v>
      </c>
      <c r="L238" s="6">
        <v>0</v>
      </c>
      <c r="M238" s="6">
        <v>0</v>
      </c>
      <c r="N238" s="6">
        <v>629000.01</v>
      </c>
      <c r="O238" s="16">
        <f>+I238*2.5%</f>
        <v>13214.286</v>
      </c>
      <c r="Q238" s="7">
        <f>+Q182*4</f>
        <v>199200</v>
      </c>
    </row>
    <row r="239" spans="1:17" x14ac:dyDescent="0.2">
      <c r="A239" s="4" t="s">
        <v>14</v>
      </c>
      <c r="B239" s="4" t="s">
        <v>725</v>
      </c>
      <c r="C239" s="4">
        <v>10508</v>
      </c>
      <c r="D239" s="5">
        <v>45916</v>
      </c>
      <c r="E239" s="4">
        <v>901476410</v>
      </c>
      <c r="F239" s="4" t="s">
        <v>473</v>
      </c>
      <c r="G239" s="4">
        <v>901907732</v>
      </c>
      <c r="H239" s="4" t="s">
        <v>16</v>
      </c>
      <c r="I239" s="6">
        <v>4845042</v>
      </c>
      <c r="J239" s="6">
        <v>513958</v>
      </c>
      <c r="K239" s="6">
        <v>0</v>
      </c>
      <c r="L239" s="6">
        <v>0</v>
      </c>
      <c r="M239" s="6">
        <v>0</v>
      </c>
      <c r="N239" s="6">
        <v>5359000</v>
      </c>
      <c r="O239" s="16">
        <f>+I239*2.5%</f>
        <v>121126.05</v>
      </c>
    </row>
    <row r="240" spans="1:17" x14ac:dyDescent="0.2">
      <c r="A240" s="4" t="s">
        <v>14</v>
      </c>
      <c r="B240" s="4" t="s">
        <v>726</v>
      </c>
      <c r="C240" s="4">
        <v>568128</v>
      </c>
      <c r="D240" s="5">
        <v>45915</v>
      </c>
      <c r="E240" s="4">
        <v>800091549</v>
      </c>
      <c r="F240" s="4" t="s">
        <v>408</v>
      </c>
      <c r="G240" s="4">
        <v>901907732</v>
      </c>
      <c r="H240" s="4" t="s">
        <v>427</v>
      </c>
      <c r="I240" s="6">
        <v>708734</v>
      </c>
      <c r="J240" s="6">
        <v>0</v>
      </c>
      <c r="K240" s="6">
        <v>0</v>
      </c>
      <c r="L240" s="6">
        <v>0</v>
      </c>
      <c r="M240" s="6">
        <v>0</v>
      </c>
      <c r="N240" s="6">
        <v>708734</v>
      </c>
    </row>
    <row r="241" spans="1:15" x14ac:dyDescent="0.2">
      <c r="A241" s="4" t="s">
        <v>14</v>
      </c>
      <c r="B241" s="4" t="s">
        <v>727</v>
      </c>
      <c r="C241" s="4">
        <v>10489</v>
      </c>
      <c r="D241" s="5">
        <v>45915</v>
      </c>
      <c r="E241" s="4">
        <v>901476410</v>
      </c>
      <c r="F241" s="4" t="s">
        <v>473</v>
      </c>
      <c r="G241" s="4">
        <v>901907732</v>
      </c>
      <c r="H241" s="4" t="s">
        <v>16</v>
      </c>
      <c r="I241" s="6">
        <v>381513</v>
      </c>
      <c r="J241" s="6">
        <v>72487</v>
      </c>
      <c r="K241" s="6">
        <v>0</v>
      </c>
      <c r="L241" s="6">
        <v>0</v>
      </c>
      <c r="M241" s="6">
        <v>0</v>
      </c>
      <c r="N241" s="6">
        <v>454000</v>
      </c>
      <c r="O241" s="16">
        <f t="shared" ref="O241:O242" si="3">+I241*2.5%</f>
        <v>9537.8250000000007</v>
      </c>
    </row>
    <row r="242" spans="1:15" x14ac:dyDescent="0.2">
      <c r="A242" s="4" t="s">
        <v>14</v>
      </c>
      <c r="B242" s="4" t="s">
        <v>728</v>
      </c>
      <c r="C242" s="4">
        <v>10488</v>
      </c>
      <c r="D242" s="5">
        <v>45915</v>
      </c>
      <c r="E242" s="4">
        <v>901476410</v>
      </c>
      <c r="F242" s="4" t="s">
        <v>473</v>
      </c>
      <c r="G242" s="4">
        <v>901907732</v>
      </c>
      <c r="H242" s="4" t="s">
        <v>16</v>
      </c>
      <c r="I242" s="6">
        <v>2478992</v>
      </c>
      <c r="J242" s="6">
        <v>471008</v>
      </c>
      <c r="K242" s="6">
        <v>0</v>
      </c>
      <c r="L242" s="6">
        <v>0</v>
      </c>
      <c r="M242" s="6">
        <v>0</v>
      </c>
      <c r="N242" s="6">
        <v>2950000</v>
      </c>
      <c r="O242" s="16">
        <f t="shared" si="3"/>
        <v>61974.8</v>
      </c>
    </row>
    <row r="243" spans="1:15" x14ac:dyDescent="0.2">
      <c r="A243" s="4" t="s">
        <v>14</v>
      </c>
      <c r="B243" s="4" t="s">
        <v>729</v>
      </c>
      <c r="C243" s="4">
        <v>585</v>
      </c>
      <c r="D243" s="5">
        <v>45915</v>
      </c>
      <c r="E243" s="4">
        <v>901192317</v>
      </c>
      <c r="F243" s="4" t="s">
        <v>492</v>
      </c>
      <c r="G243" s="4">
        <v>901907732</v>
      </c>
      <c r="H243" s="4" t="s">
        <v>16</v>
      </c>
      <c r="I243" s="6">
        <v>1597652.16</v>
      </c>
      <c r="J243" s="6">
        <v>303554</v>
      </c>
      <c r="K243" s="6">
        <v>0</v>
      </c>
      <c r="L243" s="6">
        <v>0</v>
      </c>
      <c r="M243" s="6">
        <v>0</v>
      </c>
      <c r="N243" s="6">
        <v>1901206.16</v>
      </c>
      <c r="O243" s="16">
        <f>+I243*2.5%</f>
        <v>39941.304000000004</v>
      </c>
    </row>
    <row r="244" spans="1:15" x14ac:dyDescent="0.2">
      <c r="A244" s="4" t="s">
        <v>14</v>
      </c>
      <c r="B244" s="4" t="s">
        <v>730</v>
      </c>
      <c r="C244" s="4">
        <v>12687</v>
      </c>
      <c r="D244" s="5">
        <v>45913</v>
      </c>
      <c r="E244" s="4">
        <v>700108357</v>
      </c>
      <c r="F244" s="4" t="s">
        <v>470</v>
      </c>
      <c r="G244" s="4">
        <v>901907732</v>
      </c>
      <c r="H244" s="4" t="s">
        <v>471</v>
      </c>
      <c r="I244" s="6">
        <v>282000</v>
      </c>
      <c r="J244" s="6">
        <v>0</v>
      </c>
      <c r="K244" s="6">
        <v>0</v>
      </c>
      <c r="L244" s="6">
        <v>0</v>
      </c>
      <c r="M244" s="6">
        <v>0</v>
      </c>
      <c r="N244" s="6">
        <v>282000</v>
      </c>
      <c r="O244" s="16">
        <f>+I244*3.5%</f>
        <v>9870.0000000000018</v>
      </c>
    </row>
    <row r="245" spans="1:15" x14ac:dyDescent="0.2">
      <c r="A245" s="4" t="s">
        <v>442</v>
      </c>
      <c r="B245" s="4" t="s">
        <v>731</v>
      </c>
      <c r="C245" s="4">
        <v>55866386</v>
      </c>
      <c r="D245" s="5">
        <v>45912</v>
      </c>
      <c r="E245" s="4">
        <v>900219834</v>
      </c>
      <c r="F245" s="4" t="s">
        <v>439</v>
      </c>
      <c r="G245" s="4">
        <v>901907732</v>
      </c>
      <c r="H245" s="4" t="s">
        <v>444</v>
      </c>
      <c r="I245" s="6">
        <v>25000</v>
      </c>
      <c r="J245" s="6">
        <v>0</v>
      </c>
      <c r="K245" s="6">
        <v>0</v>
      </c>
      <c r="L245" s="6">
        <v>0</v>
      </c>
      <c r="M245" s="6">
        <v>0</v>
      </c>
      <c r="N245" s="6">
        <v>25000</v>
      </c>
    </row>
    <row r="246" spans="1:15" x14ac:dyDescent="0.2">
      <c r="A246" s="4" t="s">
        <v>14</v>
      </c>
      <c r="B246" s="4" t="s">
        <v>732</v>
      </c>
      <c r="C246" s="4">
        <v>1265</v>
      </c>
      <c r="D246" s="5">
        <v>45912</v>
      </c>
      <c r="E246" s="4">
        <v>93397337</v>
      </c>
      <c r="F246" s="4" t="s">
        <v>525</v>
      </c>
      <c r="G246" s="4">
        <v>901907732</v>
      </c>
      <c r="H246" s="4" t="s">
        <v>16</v>
      </c>
      <c r="I246" s="6">
        <v>300000</v>
      </c>
      <c r="J246" s="6">
        <v>0</v>
      </c>
      <c r="K246" s="6">
        <v>0</v>
      </c>
      <c r="L246" s="6">
        <v>0</v>
      </c>
      <c r="M246" s="6">
        <v>0</v>
      </c>
      <c r="N246" s="6">
        <v>300000</v>
      </c>
    </row>
    <row r="247" spans="1:15" x14ac:dyDescent="0.2">
      <c r="A247" s="4" t="s">
        <v>14</v>
      </c>
      <c r="B247" s="4" t="s">
        <v>733</v>
      </c>
      <c r="C247" s="4">
        <v>567321</v>
      </c>
      <c r="D247" s="5">
        <v>45911</v>
      </c>
      <c r="E247" s="4">
        <v>800091549</v>
      </c>
      <c r="F247" s="4" t="s">
        <v>408</v>
      </c>
      <c r="G247" s="4">
        <v>901907732</v>
      </c>
      <c r="H247" s="4" t="s">
        <v>427</v>
      </c>
      <c r="I247" s="6">
        <v>841427</v>
      </c>
      <c r="J247" s="6">
        <v>0</v>
      </c>
      <c r="K247" s="6">
        <v>0</v>
      </c>
      <c r="L247" s="6">
        <v>0</v>
      </c>
      <c r="M247" s="6">
        <v>0</v>
      </c>
      <c r="N247" s="6">
        <v>841427</v>
      </c>
    </row>
    <row r="248" spans="1:15" x14ac:dyDescent="0.2">
      <c r="A248" s="4" t="s">
        <v>14</v>
      </c>
      <c r="B248" s="4" t="s">
        <v>734</v>
      </c>
      <c r="C248" s="4">
        <v>567320</v>
      </c>
      <c r="D248" s="5">
        <v>45911</v>
      </c>
      <c r="E248" s="4">
        <v>800091549</v>
      </c>
      <c r="F248" s="4" t="s">
        <v>408</v>
      </c>
      <c r="G248" s="4">
        <v>901907732</v>
      </c>
      <c r="H248" s="4" t="s">
        <v>427</v>
      </c>
      <c r="I248" s="6">
        <v>1059887</v>
      </c>
      <c r="J248" s="6">
        <v>0</v>
      </c>
      <c r="K248" s="6">
        <v>0</v>
      </c>
      <c r="L248" s="6">
        <v>0</v>
      </c>
      <c r="M248" s="6">
        <v>0</v>
      </c>
      <c r="N248" s="6">
        <v>1059887</v>
      </c>
    </row>
    <row r="249" spans="1:15" x14ac:dyDescent="0.2">
      <c r="A249" s="4" t="s">
        <v>14</v>
      </c>
      <c r="B249" s="4" t="s">
        <v>735</v>
      </c>
      <c r="C249" s="4">
        <v>567319</v>
      </c>
      <c r="D249" s="5">
        <v>45911</v>
      </c>
      <c r="E249" s="4">
        <v>800091549</v>
      </c>
      <c r="F249" s="4" t="s">
        <v>408</v>
      </c>
      <c r="G249" s="4">
        <v>901907732</v>
      </c>
      <c r="H249" s="4" t="s">
        <v>427</v>
      </c>
      <c r="I249" s="6">
        <v>317763</v>
      </c>
      <c r="J249" s="6">
        <v>0</v>
      </c>
      <c r="K249" s="6">
        <v>0</v>
      </c>
      <c r="L249" s="6">
        <v>0</v>
      </c>
      <c r="M249" s="6">
        <v>0</v>
      </c>
      <c r="N249" s="6">
        <v>317763</v>
      </c>
    </row>
    <row r="250" spans="1:15" x14ac:dyDescent="0.2">
      <c r="A250" s="4" t="s">
        <v>14</v>
      </c>
      <c r="B250" s="4" t="s">
        <v>736</v>
      </c>
      <c r="C250" s="4">
        <v>567318</v>
      </c>
      <c r="D250" s="5">
        <v>45911</v>
      </c>
      <c r="E250" s="4">
        <v>800091549</v>
      </c>
      <c r="F250" s="4" t="s">
        <v>408</v>
      </c>
      <c r="G250" s="4">
        <v>901907732</v>
      </c>
      <c r="H250" s="4" t="s">
        <v>427</v>
      </c>
      <c r="I250" s="6">
        <v>433086</v>
      </c>
      <c r="J250" s="6">
        <v>0</v>
      </c>
      <c r="K250" s="6">
        <v>0</v>
      </c>
      <c r="L250" s="6">
        <v>0</v>
      </c>
      <c r="M250" s="6">
        <v>0</v>
      </c>
      <c r="N250" s="6">
        <v>433086</v>
      </c>
    </row>
    <row r="251" spans="1:15" x14ac:dyDescent="0.2">
      <c r="A251" s="4" t="s">
        <v>14</v>
      </c>
      <c r="B251" s="4" t="s">
        <v>737</v>
      </c>
      <c r="C251" s="4">
        <v>567317</v>
      </c>
      <c r="D251" s="5">
        <v>45911</v>
      </c>
      <c r="E251" s="4">
        <v>800091549</v>
      </c>
      <c r="F251" s="4" t="s">
        <v>408</v>
      </c>
      <c r="G251" s="4">
        <v>901907732</v>
      </c>
      <c r="H251" s="4" t="s">
        <v>427</v>
      </c>
      <c r="I251" s="6">
        <v>559606</v>
      </c>
      <c r="J251" s="6">
        <v>0</v>
      </c>
      <c r="K251" s="6">
        <v>0</v>
      </c>
      <c r="L251" s="6">
        <v>0</v>
      </c>
      <c r="M251" s="6">
        <v>0</v>
      </c>
      <c r="N251" s="6">
        <v>559606</v>
      </c>
    </row>
    <row r="252" spans="1:15" x14ac:dyDescent="0.2">
      <c r="A252" s="4" t="s">
        <v>14</v>
      </c>
      <c r="B252" s="4" t="s">
        <v>738</v>
      </c>
      <c r="C252" s="4">
        <v>567316</v>
      </c>
      <c r="D252" s="5">
        <v>45911</v>
      </c>
      <c r="E252" s="4">
        <v>800091549</v>
      </c>
      <c r="F252" s="4" t="s">
        <v>408</v>
      </c>
      <c r="G252" s="4">
        <v>901907732</v>
      </c>
      <c r="H252" s="4" t="s">
        <v>427</v>
      </c>
      <c r="I252" s="6">
        <v>234004</v>
      </c>
      <c r="J252" s="6">
        <v>0</v>
      </c>
      <c r="K252" s="6">
        <v>0</v>
      </c>
      <c r="L252" s="6">
        <v>0</v>
      </c>
      <c r="M252" s="6">
        <v>0</v>
      </c>
      <c r="N252" s="6">
        <v>234004</v>
      </c>
    </row>
    <row r="253" spans="1:15" x14ac:dyDescent="0.2">
      <c r="A253" s="4" t="s">
        <v>14</v>
      </c>
      <c r="B253" s="4" t="s">
        <v>739</v>
      </c>
      <c r="C253" s="4">
        <v>567315</v>
      </c>
      <c r="D253" s="5">
        <v>45911</v>
      </c>
      <c r="E253" s="4">
        <v>800091549</v>
      </c>
      <c r="F253" s="4" t="s">
        <v>408</v>
      </c>
      <c r="G253" s="4">
        <v>901907732</v>
      </c>
      <c r="H253" s="4" t="s">
        <v>427</v>
      </c>
      <c r="I253" s="6">
        <v>138409</v>
      </c>
      <c r="J253" s="6">
        <v>0</v>
      </c>
      <c r="K253" s="6">
        <v>0</v>
      </c>
      <c r="L253" s="6">
        <v>0</v>
      </c>
      <c r="M253" s="6">
        <v>0</v>
      </c>
      <c r="N253" s="6">
        <v>138409</v>
      </c>
    </row>
    <row r="254" spans="1:15" x14ac:dyDescent="0.2">
      <c r="A254" s="4" t="s">
        <v>14</v>
      </c>
      <c r="B254" s="4" t="s">
        <v>740</v>
      </c>
      <c r="C254" s="4">
        <v>567314</v>
      </c>
      <c r="D254" s="5">
        <v>45911</v>
      </c>
      <c r="E254" s="4">
        <v>800091549</v>
      </c>
      <c r="F254" s="4" t="s">
        <v>408</v>
      </c>
      <c r="G254" s="4">
        <v>901907732</v>
      </c>
      <c r="H254" s="4" t="s">
        <v>427</v>
      </c>
      <c r="I254" s="6">
        <v>339432</v>
      </c>
      <c r="J254" s="6">
        <v>0</v>
      </c>
      <c r="K254" s="6">
        <v>0</v>
      </c>
      <c r="L254" s="6">
        <v>0</v>
      </c>
      <c r="M254" s="6">
        <v>0</v>
      </c>
      <c r="N254" s="6">
        <v>339432</v>
      </c>
    </row>
    <row r="255" spans="1:15" x14ac:dyDescent="0.2">
      <c r="A255" s="4" t="s">
        <v>14</v>
      </c>
      <c r="B255" s="4" t="s">
        <v>741</v>
      </c>
      <c r="C255" s="4">
        <v>567313</v>
      </c>
      <c r="D255" s="5">
        <v>45911</v>
      </c>
      <c r="E255" s="4">
        <v>800091549</v>
      </c>
      <c r="F255" s="4" t="s">
        <v>408</v>
      </c>
      <c r="G255" s="4">
        <v>901907732</v>
      </c>
      <c r="H255" s="4" t="s">
        <v>427</v>
      </c>
      <c r="I255" s="6">
        <v>2894306</v>
      </c>
      <c r="J255" s="6">
        <v>0</v>
      </c>
      <c r="K255" s="6">
        <v>0</v>
      </c>
      <c r="L255" s="6">
        <v>0</v>
      </c>
      <c r="M255" s="6">
        <v>0</v>
      </c>
      <c r="N255" s="6">
        <v>2894306</v>
      </c>
    </row>
    <row r="256" spans="1:15" x14ac:dyDescent="0.2">
      <c r="A256" s="4" t="s">
        <v>14</v>
      </c>
      <c r="B256" s="4" t="s">
        <v>742</v>
      </c>
      <c r="C256" s="4">
        <v>567312</v>
      </c>
      <c r="D256" s="5">
        <v>45911</v>
      </c>
      <c r="E256" s="4">
        <v>800091549</v>
      </c>
      <c r="F256" s="4" t="s">
        <v>408</v>
      </c>
      <c r="G256" s="4">
        <v>901907732</v>
      </c>
      <c r="H256" s="4" t="s">
        <v>427</v>
      </c>
      <c r="I256" s="6">
        <v>733767</v>
      </c>
      <c r="J256" s="6">
        <v>0</v>
      </c>
      <c r="K256" s="6">
        <v>0</v>
      </c>
      <c r="L256" s="6">
        <v>0</v>
      </c>
      <c r="M256" s="6">
        <v>0</v>
      </c>
      <c r="N256" s="6">
        <v>733767</v>
      </c>
    </row>
    <row r="257" spans="1:15" x14ac:dyDescent="0.2">
      <c r="A257" s="4" t="s">
        <v>14</v>
      </c>
      <c r="B257" s="4" t="s">
        <v>743</v>
      </c>
      <c r="C257" s="4">
        <v>567311</v>
      </c>
      <c r="D257" s="5">
        <v>45911</v>
      </c>
      <c r="E257" s="4">
        <v>800091549</v>
      </c>
      <c r="F257" s="4" t="s">
        <v>408</v>
      </c>
      <c r="G257" s="4">
        <v>901907732</v>
      </c>
      <c r="H257" s="4" t="s">
        <v>427</v>
      </c>
      <c r="I257" s="6">
        <v>129758</v>
      </c>
      <c r="J257" s="6">
        <v>0</v>
      </c>
      <c r="K257" s="6">
        <v>0</v>
      </c>
      <c r="L257" s="6">
        <v>0</v>
      </c>
      <c r="M257" s="6">
        <v>0</v>
      </c>
      <c r="N257" s="6">
        <v>129758</v>
      </c>
    </row>
    <row r="258" spans="1:15" x14ac:dyDescent="0.2">
      <c r="A258" s="4" t="s">
        <v>14</v>
      </c>
      <c r="B258" s="4" t="s">
        <v>744</v>
      </c>
      <c r="C258" s="4">
        <v>567310</v>
      </c>
      <c r="D258" s="5">
        <v>45911</v>
      </c>
      <c r="E258" s="4">
        <v>800091549</v>
      </c>
      <c r="F258" s="4" t="s">
        <v>408</v>
      </c>
      <c r="G258" s="4">
        <v>901907732</v>
      </c>
      <c r="H258" s="4" t="s">
        <v>427</v>
      </c>
      <c r="I258" s="6">
        <v>823861</v>
      </c>
      <c r="J258" s="6">
        <v>0</v>
      </c>
      <c r="K258" s="6">
        <v>0</v>
      </c>
      <c r="L258" s="6">
        <v>0</v>
      </c>
      <c r="M258" s="6">
        <v>0</v>
      </c>
      <c r="N258" s="6">
        <v>823861</v>
      </c>
    </row>
    <row r="259" spans="1:15" x14ac:dyDescent="0.2">
      <c r="A259" s="4" t="s">
        <v>14</v>
      </c>
      <c r="B259" s="4" t="s">
        <v>745</v>
      </c>
      <c r="C259" s="4">
        <v>567145</v>
      </c>
      <c r="D259" s="5">
        <v>45911</v>
      </c>
      <c r="E259" s="4">
        <v>800091549</v>
      </c>
      <c r="F259" s="4" t="s">
        <v>408</v>
      </c>
      <c r="G259" s="4">
        <v>901907732</v>
      </c>
      <c r="H259" s="4" t="s">
        <v>427</v>
      </c>
      <c r="I259" s="6">
        <v>1424220</v>
      </c>
      <c r="J259" s="6">
        <v>0</v>
      </c>
      <c r="K259" s="6">
        <v>0</v>
      </c>
      <c r="L259" s="6">
        <v>0</v>
      </c>
      <c r="M259" s="6">
        <v>0</v>
      </c>
      <c r="N259" s="6">
        <v>1424220</v>
      </c>
    </row>
    <row r="260" spans="1:15" x14ac:dyDescent="0.2">
      <c r="A260" s="4" t="s">
        <v>442</v>
      </c>
      <c r="B260" s="4" t="s">
        <v>746</v>
      </c>
      <c r="C260" s="4">
        <v>55702730</v>
      </c>
      <c r="D260" s="5">
        <v>45911</v>
      </c>
      <c r="E260" s="4">
        <v>900219834</v>
      </c>
      <c r="F260" s="4" t="s">
        <v>439</v>
      </c>
      <c r="G260" s="4">
        <v>901907732</v>
      </c>
      <c r="H260" s="4" t="s">
        <v>444</v>
      </c>
      <c r="I260" s="6">
        <v>12900</v>
      </c>
      <c r="J260" s="6">
        <v>0</v>
      </c>
      <c r="K260" s="6">
        <v>0</v>
      </c>
      <c r="L260" s="6">
        <v>0</v>
      </c>
      <c r="M260" s="6">
        <v>0</v>
      </c>
      <c r="N260" s="6">
        <v>12900</v>
      </c>
    </row>
    <row r="261" spans="1:15" x14ac:dyDescent="0.2">
      <c r="A261" s="4" t="s">
        <v>14</v>
      </c>
      <c r="B261" s="4" t="s">
        <v>747</v>
      </c>
      <c r="C261" s="4">
        <v>147828571</v>
      </c>
      <c r="D261" s="5">
        <v>45911</v>
      </c>
      <c r="E261" s="4">
        <v>830114921</v>
      </c>
      <c r="F261" s="4" t="s">
        <v>459</v>
      </c>
      <c r="G261" s="4">
        <v>901907732</v>
      </c>
      <c r="H261" s="4" t="s">
        <v>460</v>
      </c>
      <c r="I261" s="6">
        <v>48987.89</v>
      </c>
      <c r="J261" s="6">
        <v>9307.69</v>
      </c>
      <c r="K261" s="6">
        <v>0</v>
      </c>
      <c r="L261" s="6">
        <v>924.42</v>
      </c>
      <c r="M261" s="6">
        <v>0</v>
      </c>
      <c r="N261" s="6">
        <v>59220</v>
      </c>
    </row>
    <row r="262" spans="1:15" x14ac:dyDescent="0.2">
      <c r="A262" s="4" t="s">
        <v>442</v>
      </c>
      <c r="B262" s="4" t="s">
        <v>748</v>
      </c>
      <c r="C262" s="4">
        <v>55479942</v>
      </c>
      <c r="D262" s="5">
        <v>45910</v>
      </c>
      <c r="E262" s="4">
        <v>900219834</v>
      </c>
      <c r="F262" s="4" t="s">
        <v>439</v>
      </c>
      <c r="G262" s="4">
        <v>901907732</v>
      </c>
      <c r="H262" s="4" t="s">
        <v>444</v>
      </c>
      <c r="I262" s="6">
        <v>25000</v>
      </c>
      <c r="J262" s="6">
        <v>0</v>
      </c>
      <c r="K262" s="6">
        <v>0</v>
      </c>
      <c r="L262" s="6">
        <v>0</v>
      </c>
      <c r="M262" s="6">
        <v>0</v>
      </c>
      <c r="N262" s="6">
        <v>25000</v>
      </c>
    </row>
    <row r="263" spans="1:15" x14ac:dyDescent="0.2">
      <c r="A263" s="4" t="s">
        <v>14</v>
      </c>
      <c r="B263" s="4" t="s">
        <v>749</v>
      </c>
      <c r="C263" s="4">
        <v>566123</v>
      </c>
      <c r="D263" s="5">
        <v>45909</v>
      </c>
      <c r="E263" s="4">
        <v>800091549</v>
      </c>
      <c r="F263" s="4" t="s">
        <v>408</v>
      </c>
      <c r="G263" s="4">
        <v>901907732</v>
      </c>
      <c r="H263" s="4" t="s">
        <v>427</v>
      </c>
      <c r="I263" s="6">
        <v>488401</v>
      </c>
      <c r="J263" s="6">
        <v>0</v>
      </c>
      <c r="K263" s="6">
        <v>0</v>
      </c>
      <c r="L263" s="6">
        <v>0</v>
      </c>
      <c r="M263" s="6">
        <v>0</v>
      </c>
      <c r="N263" s="6">
        <v>488401</v>
      </c>
    </row>
    <row r="264" spans="1:15" x14ac:dyDescent="0.2">
      <c r="A264" s="4" t="s">
        <v>442</v>
      </c>
      <c r="B264" s="4" t="s">
        <v>750</v>
      </c>
      <c r="C264" s="4">
        <v>55313227</v>
      </c>
      <c r="D264" s="5">
        <v>45909</v>
      </c>
      <c r="E264" s="4">
        <v>900219834</v>
      </c>
      <c r="F264" s="4" t="s">
        <v>439</v>
      </c>
      <c r="G264" s="4">
        <v>901907732</v>
      </c>
      <c r="H264" s="4" t="s">
        <v>444</v>
      </c>
      <c r="I264" s="6">
        <v>25000</v>
      </c>
      <c r="J264" s="6">
        <v>0</v>
      </c>
      <c r="K264" s="6">
        <v>0</v>
      </c>
      <c r="L264" s="6">
        <v>0</v>
      </c>
      <c r="M264" s="6">
        <v>0</v>
      </c>
      <c r="N264" s="6">
        <v>25000</v>
      </c>
    </row>
    <row r="265" spans="1:15" x14ac:dyDescent="0.2">
      <c r="A265" s="4" t="s">
        <v>14</v>
      </c>
      <c r="B265" s="4" t="s">
        <v>751</v>
      </c>
      <c r="C265" s="4">
        <v>12644</v>
      </c>
      <c r="D265" s="5">
        <v>45905</v>
      </c>
      <c r="E265" s="4">
        <v>700108357</v>
      </c>
      <c r="F265" s="4" t="s">
        <v>470</v>
      </c>
      <c r="G265" s="4">
        <v>901907732</v>
      </c>
      <c r="H265" s="4" t="s">
        <v>471</v>
      </c>
      <c r="I265" s="6">
        <v>352000</v>
      </c>
      <c r="J265" s="6">
        <v>0</v>
      </c>
      <c r="K265" s="6">
        <v>0</v>
      </c>
      <c r="L265" s="6">
        <v>0</v>
      </c>
      <c r="M265" s="6">
        <v>0</v>
      </c>
      <c r="N265" s="6">
        <v>352000</v>
      </c>
      <c r="O265" s="16">
        <f>+I265*3.5%</f>
        <v>12320.000000000002</v>
      </c>
    </row>
    <row r="266" spans="1:15" x14ac:dyDescent="0.2">
      <c r="A266" s="4" t="s">
        <v>14</v>
      </c>
      <c r="B266" s="4" t="s">
        <v>752</v>
      </c>
      <c r="C266" s="4">
        <v>1264</v>
      </c>
      <c r="D266" s="5">
        <v>45905</v>
      </c>
      <c r="E266" s="4">
        <v>93397337</v>
      </c>
      <c r="F266" s="4" t="s">
        <v>525</v>
      </c>
      <c r="G266" s="4">
        <v>901907732</v>
      </c>
      <c r="H266" s="4" t="s">
        <v>16</v>
      </c>
      <c r="I266" s="6">
        <v>200000</v>
      </c>
      <c r="J266" s="6">
        <v>0</v>
      </c>
      <c r="K266" s="6">
        <v>0</v>
      </c>
      <c r="L266" s="6">
        <v>0</v>
      </c>
      <c r="M266" s="6">
        <v>0</v>
      </c>
      <c r="N266" s="6">
        <v>200000</v>
      </c>
    </row>
    <row r="267" spans="1:15" x14ac:dyDescent="0.2">
      <c r="A267" s="4" t="s">
        <v>14</v>
      </c>
      <c r="B267" s="4" t="s">
        <v>753</v>
      </c>
      <c r="C267" s="4">
        <v>8240171</v>
      </c>
      <c r="D267" s="5">
        <v>45904</v>
      </c>
      <c r="E267" s="4">
        <v>900219834</v>
      </c>
      <c r="F267" s="4" t="s">
        <v>439</v>
      </c>
      <c r="G267" s="4">
        <v>901907732</v>
      </c>
      <c r="H267" s="4" t="s">
        <v>440</v>
      </c>
      <c r="I267" s="6">
        <v>6512.61</v>
      </c>
      <c r="J267" s="6">
        <v>1237.3900000000001</v>
      </c>
      <c r="K267" s="6">
        <v>0</v>
      </c>
      <c r="L267" s="6">
        <v>0</v>
      </c>
      <c r="M267" s="6">
        <v>0</v>
      </c>
      <c r="N267" s="6">
        <v>7750</v>
      </c>
    </row>
    <row r="268" spans="1:15" x14ac:dyDescent="0.2">
      <c r="A268" s="4" t="s">
        <v>14</v>
      </c>
      <c r="B268" s="4" t="s">
        <v>754</v>
      </c>
      <c r="C268" s="4">
        <v>7034</v>
      </c>
      <c r="D268" s="5">
        <v>45904</v>
      </c>
      <c r="E268" s="4">
        <v>900762275</v>
      </c>
      <c r="F268" s="4" t="s">
        <v>532</v>
      </c>
      <c r="G268" s="4">
        <v>901907732</v>
      </c>
      <c r="H268" s="4" t="s">
        <v>16</v>
      </c>
      <c r="I268" s="6">
        <v>1095180</v>
      </c>
      <c r="J268" s="6">
        <v>0</v>
      </c>
      <c r="K268" s="6">
        <v>0</v>
      </c>
      <c r="L268" s="6">
        <v>0</v>
      </c>
      <c r="M268" s="6">
        <v>0</v>
      </c>
      <c r="N268" s="6">
        <v>1095180</v>
      </c>
    </row>
    <row r="269" spans="1:15" x14ac:dyDescent="0.2">
      <c r="A269" s="4" t="s">
        <v>14</v>
      </c>
      <c r="B269" s="4" t="s">
        <v>755</v>
      </c>
      <c r="C269" s="4">
        <v>184450</v>
      </c>
      <c r="D269" s="5">
        <v>45903</v>
      </c>
      <c r="E269" s="4">
        <v>901192317</v>
      </c>
      <c r="F269" s="4" t="s">
        <v>492</v>
      </c>
      <c r="G269" s="4">
        <v>901907732</v>
      </c>
      <c r="H269" s="4" t="s">
        <v>16</v>
      </c>
      <c r="I269" s="6">
        <v>581611.73</v>
      </c>
      <c r="J269" s="6">
        <v>110507</v>
      </c>
      <c r="K269" s="6">
        <v>0</v>
      </c>
      <c r="L269" s="6">
        <v>0</v>
      </c>
      <c r="M269" s="6">
        <v>0</v>
      </c>
      <c r="N269" s="6">
        <v>692118.73</v>
      </c>
      <c r="O269" s="16">
        <f t="shared" ref="O269" si="4">+I269*2.5%</f>
        <v>14540.293250000001</v>
      </c>
    </row>
    <row r="270" spans="1:15" x14ac:dyDescent="0.2">
      <c r="A270" s="4" t="s">
        <v>14</v>
      </c>
      <c r="B270" s="4" t="s">
        <v>756</v>
      </c>
      <c r="C270" s="4">
        <v>184262</v>
      </c>
      <c r="D270" s="5">
        <v>45902</v>
      </c>
      <c r="E270" s="4">
        <v>901192317</v>
      </c>
      <c r="F270" s="4" t="s">
        <v>492</v>
      </c>
      <c r="G270" s="4">
        <v>901907732</v>
      </c>
      <c r="H270" s="4" t="s">
        <v>16</v>
      </c>
      <c r="I270" s="6">
        <v>144193.20000000001</v>
      </c>
      <c r="J270" s="6">
        <v>27397</v>
      </c>
      <c r="K270" s="6">
        <v>0</v>
      </c>
      <c r="L270" s="6">
        <v>0</v>
      </c>
      <c r="M270" s="6">
        <v>0</v>
      </c>
      <c r="N270" s="6">
        <v>171590.2</v>
      </c>
    </row>
    <row r="271" spans="1:15" x14ac:dyDescent="0.2">
      <c r="A271" s="4" t="s">
        <v>14</v>
      </c>
      <c r="B271" s="4" t="s">
        <v>757</v>
      </c>
      <c r="C271" s="4">
        <v>430006</v>
      </c>
      <c r="D271" s="5">
        <v>45902</v>
      </c>
      <c r="E271" s="4">
        <v>900181068</v>
      </c>
      <c r="F271" s="4" t="s">
        <v>708</v>
      </c>
      <c r="G271" s="4">
        <v>901907732</v>
      </c>
      <c r="H271" s="4" t="s">
        <v>16</v>
      </c>
      <c r="I271" s="6">
        <v>34891.93</v>
      </c>
      <c r="J271" s="6">
        <v>6629.47</v>
      </c>
      <c r="K271" s="6">
        <v>0</v>
      </c>
      <c r="L271" s="6">
        <v>0</v>
      </c>
      <c r="M271" s="6">
        <v>0</v>
      </c>
      <c r="N271" s="6">
        <v>41521.4</v>
      </c>
    </row>
    <row r="272" spans="1:15" x14ac:dyDescent="0.2">
      <c r="A272" s="4" t="s">
        <v>14</v>
      </c>
      <c r="B272" s="4" t="s">
        <v>758</v>
      </c>
      <c r="C272" s="4">
        <v>184248</v>
      </c>
      <c r="D272" s="5">
        <v>45902</v>
      </c>
      <c r="E272" s="4">
        <v>901192317</v>
      </c>
      <c r="F272" s="4" t="s">
        <v>492</v>
      </c>
      <c r="G272" s="4">
        <v>901907732</v>
      </c>
      <c r="H272" s="4" t="s">
        <v>16</v>
      </c>
      <c r="I272" s="6">
        <v>1982241.46</v>
      </c>
      <c r="J272" s="6">
        <v>376626</v>
      </c>
      <c r="K272" s="6">
        <v>0</v>
      </c>
      <c r="L272" s="6">
        <v>0</v>
      </c>
      <c r="M272" s="6">
        <v>0</v>
      </c>
      <c r="N272" s="6">
        <v>2358867.46</v>
      </c>
      <c r="O272" s="16">
        <f>+I272*2.5%</f>
        <v>49556.036500000002</v>
      </c>
    </row>
    <row r="273" spans="1:15" x14ac:dyDescent="0.2">
      <c r="A273" s="4" t="s">
        <v>14</v>
      </c>
      <c r="B273" s="4" t="s">
        <v>759</v>
      </c>
      <c r="C273" s="4">
        <v>2059</v>
      </c>
      <c r="D273" s="5">
        <v>45901</v>
      </c>
      <c r="E273" s="4">
        <v>901575358</v>
      </c>
      <c r="F273" s="4" t="s">
        <v>620</v>
      </c>
      <c r="G273" s="4">
        <v>901907732</v>
      </c>
      <c r="H273" s="4" t="s">
        <v>16</v>
      </c>
      <c r="I273" s="6">
        <v>2166644.0100000002</v>
      </c>
      <c r="J273" s="6">
        <v>411662.36</v>
      </c>
      <c r="K273" s="6">
        <v>0</v>
      </c>
      <c r="L273" s="6">
        <v>0</v>
      </c>
      <c r="M273" s="6">
        <v>0</v>
      </c>
      <c r="N273" s="6">
        <v>2578306.37</v>
      </c>
    </row>
    <row r="274" spans="1:15" x14ac:dyDescent="0.2">
      <c r="A274" s="4" t="s">
        <v>14</v>
      </c>
      <c r="B274" s="4" t="s">
        <v>760</v>
      </c>
      <c r="C274" s="4">
        <v>160155</v>
      </c>
      <c r="D274" s="5">
        <v>45899</v>
      </c>
      <c r="E274" s="4">
        <v>900276962</v>
      </c>
      <c r="F274" s="4" t="s">
        <v>551</v>
      </c>
      <c r="G274" s="4">
        <v>901907732</v>
      </c>
      <c r="H274" s="4" t="s">
        <v>552</v>
      </c>
      <c r="I274" s="6">
        <v>87487.49</v>
      </c>
      <c r="J274" s="6">
        <v>15199.51</v>
      </c>
      <c r="K274" s="6">
        <v>1584</v>
      </c>
      <c r="L274" s="6">
        <v>0</v>
      </c>
      <c r="M274" s="6">
        <v>159</v>
      </c>
      <c r="N274" s="6">
        <v>104430</v>
      </c>
    </row>
    <row r="275" spans="1:15" x14ac:dyDescent="0.2">
      <c r="A275" s="4" t="s">
        <v>14</v>
      </c>
      <c r="B275" s="4" t="s">
        <v>761</v>
      </c>
      <c r="C275" s="4">
        <v>67</v>
      </c>
      <c r="D275" s="5">
        <v>45899</v>
      </c>
      <c r="E275" s="4">
        <v>1003880015</v>
      </c>
      <c r="F275" s="4" t="s">
        <v>431</v>
      </c>
      <c r="G275" s="4">
        <v>901907732</v>
      </c>
      <c r="H275" s="4" t="s">
        <v>16</v>
      </c>
      <c r="I275" s="6">
        <v>122000</v>
      </c>
      <c r="J275" s="6">
        <v>0</v>
      </c>
      <c r="K275" s="6">
        <v>0</v>
      </c>
      <c r="L275" s="6">
        <v>0</v>
      </c>
      <c r="M275" s="6">
        <v>0</v>
      </c>
      <c r="N275" s="6">
        <v>122000</v>
      </c>
    </row>
    <row r="276" spans="1:15" x14ac:dyDescent="0.2">
      <c r="A276" s="4" t="s">
        <v>14</v>
      </c>
      <c r="B276" s="4" t="s">
        <v>762</v>
      </c>
      <c r="C276" s="4">
        <v>12607</v>
      </c>
      <c r="D276" s="5">
        <v>45898</v>
      </c>
      <c r="E276" s="4">
        <v>700108357</v>
      </c>
      <c r="F276" s="4" t="s">
        <v>470</v>
      </c>
      <c r="G276" s="4">
        <v>901907732</v>
      </c>
      <c r="H276" s="4" t="s">
        <v>471</v>
      </c>
      <c r="I276" s="6">
        <v>217000</v>
      </c>
      <c r="J276" s="6">
        <v>0</v>
      </c>
      <c r="K276" s="6">
        <v>0</v>
      </c>
      <c r="L276" s="6">
        <v>0</v>
      </c>
      <c r="M276" s="6">
        <v>0</v>
      </c>
      <c r="N276" s="6">
        <v>217000</v>
      </c>
      <c r="O276" s="16">
        <f>+I276*3.5%</f>
        <v>7595.0000000000009</v>
      </c>
    </row>
    <row r="277" spans="1:15" x14ac:dyDescent="0.2">
      <c r="A277" s="4" t="s">
        <v>14</v>
      </c>
      <c r="B277" s="4" t="s">
        <v>763</v>
      </c>
      <c r="C277" s="4">
        <v>1262</v>
      </c>
      <c r="D277" s="5">
        <v>45898</v>
      </c>
      <c r="E277" s="4">
        <v>93397337</v>
      </c>
      <c r="F277" s="4" t="s">
        <v>525</v>
      </c>
      <c r="G277" s="4">
        <v>901907732</v>
      </c>
      <c r="H277" s="4" t="s">
        <v>16</v>
      </c>
      <c r="I277" s="6">
        <v>200000</v>
      </c>
      <c r="J277" s="6">
        <v>0</v>
      </c>
      <c r="K277" s="6">
        <v>0</v>
      </c>
      <c r="L277" s="6">
        <v>0</v>
      </c>
      <c r="M277" s="6">
        <v>0</v>
      </c>
      <c r="N277" s="6">
        <v>200000</v>
      </c>
    </row>
    <row r="278" spans="1:15" x14ac:dyDescent="0.2">
      <c r="A278" s="4" t="s">
        <v>14</v>
      </c>
      <c r="B278" s="4" t="s">
        <v>764</v>
      </c>
      <c r="C278" s="4">
        <v>122362</v>
      </c>
      <c r="D278" s="5">
        <v>45897</v>
      </c>
      <c r="E278" s="4">
        <v>811000784</v>
      </c>
      <c r="F278" s="4" t="s">
        <v>456</v>
      </c>
      <c r="G278" s="4">
        <v>901907732</v>
      </c>
      <c r="H278" s="4" t="s">
        <v>457</v>
      </c>
      <c r="I278" s="6">
        <v>9243.7000000000007</v>
      </c>
      <c r="J278" s="6">
        <v>1756.3</v>
      </c>
      <c r="K278" s="6">
        <v>0</v>
      </c>
      <c r="L278" s="6">
        <v>0</v>
      </c>
      <c r="M278" s="6">
        <v>0</v>
      </c>
      <c r="N278" s="6">
        <v>11000</v>
      </c>
    </row>
    <row r="279" spans="1:15" x14ac:dyDescent="0.2">
      <c r="A279" s="4" t="s">
        <v>14</v>
      </c>
      <c r="B279" s="4" t="s">
        <v>765</v>
      </c>
      <c r="C279" s="4">
        <v>563380</v>
      </c>
      <c r="D279" s="5">
        <v>45897</v>
      </c>
      <c r="E279" s="4">
        <v>800091549</v>
      </c>
      <c r="F279" s="4" t="s">
        <v>408</v>
      </c>
      <c r="G279" s="4">
        <v>901907732</v>
      </c>
      <c r="H279" s="4" t="s">
        <v>427</v>
      </c>
      <c r="I279" s="6">
        <v>57122</v>
      </c>
      <c r="J279" s="6">
        <v>10853</v>
      </c>
      <c r="K279" s="6">
        <v>0</v>
      </c>
      <c r="L279" s="6">
        <v>0</v>
      </c>
      <c r="M279" s="6">
        <v>0</v>
      </c>
      <c r="N279" s="6">
        <v>67975</v>
      </c>
    </row>
    <row r="280" spans="1:15" x14ac:dyDescent="0.2">
      <c r="A280" s="4" t="s">
        <v>14</v>
      </c>
      <c r="B280" s="4" t="s">
        <v>766</v>
      </c>
      <c r="C280" s="4">
        <v>277351</v>
      </c>
      <c r="D280" s="5">
        <v>45897</v>
      </c>
      <c r="E280" s="4">
        <v>900439301</v>
      </c>
      <c r="F280" s="4" t="s">
        <v>767</v>
      </c>
      <c r="G280" s="4">
        <v>901907732</v>
      </c>
      <c r="H280" s="4" t="s">
        <v>450</v>
      </c>
      <c r="I280" s="6">
        <v>83865.55</v>
      </c>
      <c r="J280" s="6">
        <v>15934.45</v>
      </c>
      <c r="K280" s="6">
        <v>0</v>
      </c>
      <c r="L280" s="6">
        <v>0</v>
      </c>
      <c r="M280" s="6">
        <v>0</v>
      </c>
      <c r="N280" s="6">
        <v>99800</v>
      </c>
    </row>
    <row r="281" spans="1:15" x14ac:dyDescent="0.2">
      <c r="A281" s="4" t="s">
        <v>14</v>
      </c>
      <c r="B281" s="4" t="s">
        <v>768</v>
      </c>
      <c r="C281" s="4">
        <v>144732655</v>
      </c>
      <c r="D281" s="5">
        <v>45895</v>
      </c>
      <c r="E281" s="4">
        <v>830114921</v>
      </c>
      <c r="F281" s="4" t="s">
        <v>459</v>
      </c>
      <c r="G281" s="4">
        <v>901907732</v>
      </c>
      <c r="H281" s="4" t="s">
        <v>460</v>
      </c>
      <c r="I281" s="6">
        <v>105211.91</v>
      </c>
      <c r="J281" s="6">
        <v>19990.2</v>
      </c>
      <c r="K281" s="6">
        <v>0</v>
      </c>
      <c r="L281" s="6">
        <v>1980.89</v>
      </c>
      <c r="M281" s="6">
        <v>0</v>
      </c>
      <c r="N281" s="6">
        <v>127183</v>
      </c>
    </row>
    <row r="282" spans="1:15" x14ac:dyDescent="0.2">
      <c r="A282" s="4" t="s">
        <v>14</v>
      </c>
      <c r="B282" s="4" t="s">
        <v>769</v>
      </c>
      <c r="C282" s="4">
        <v>276809</v>
      </c>
      <c r="D282" s="5">
        <v>45894</v>
      </c>
      <c r="E282" s="4">
        <v>900439301</v>
      </c>
      <c r="F282" s="4" t="s">
        <v>767</v>
      </c>
      <c r="G282" s="4">
        <v>901907732</v>
      </c>
      <c r="H282" s="4" t="s">
        <v>450</v>
      </c>
      <c r="I282" s="6">
        <v>20084.03</v>
      </c>
      <c r="J282" s="6">
        <v>3815.97</v>
      </c>
      <c r="K282" s="6">
        <v>0</v>
      </c>
      <c r="L282" s="6">
        <v>0</v>
      </c>
      <c r="M282" s="6">
        <v>0</v>
      </c>
      <c r="N282" s="6">
        <v>23900</v>
      </c>
    </row>
    <row r="283" spans="1:15" x14ac:dyDescent="0.2">
      <c r="A283" s="4" t="s">
        <v>14</v>
      </c>
      <c r="B283" s="4" t="s">
        <v>770</v>
      </c>
      <c r="C283" s="4">
        <v>144577034</v>
      </c>
      <c r="D283" s="5">
        <v>45894</v>
      </c>
      <c r="E283" s="4">
        <v>830114921</v>
      </c>
      <c r="F283" s="4" t="s">
        <v>459</v>
      </c>
      <c r="G283" s="4">
        <v>901907732</v>
      </c>
      <c r="H283" s="4" t="s">
        <v>464</v>
      </c>
      <c r="I283" s="6">
        <v>74884.299999999988</v>
      </c>
      <c r="J283" s="6">
        <v>14228.1</v>
      </c>
      <c r="K283" s="6">
        <v>0</v>
      </c>
      <c r="L283" s="6">
        <v>1320.6</v>
      </c>
      <c r="M283" s="6">
        <v>0</v>
      </c>
      <c r="N283" s="6">
        <v>90433</v>
      </c>
    </row>
    <row r="284" spans="1:15" x14ac:dyDescent="0.2">
      <c r="A284" s="4" t="s">
        <v>14</v>
      </c>
      <c r="B284" s="4" t="s">
        <v>771</v>
      </c>
      <c r="C284" s="4">
        <v>144577216</v>
      </c>
      <c r="D284" s="5">
        <v>45894</v>
      </c>
      <c r="E284" s="4">
        <v>830114921</v>
      </c>
      <c r="F284" s="4" t="s">
        <v>459</v>
      </c>
      <c r="G284" s="4">
        <v>901907732</v>
      </c>
      <c r="H284" s="4" t="s">
        <v>462</v>
      </c>
      <c r="I284" s="6">
        <v>23603.5</v>
      </c>
      <c r="J284" s="6">
        <v>4484.7299999999996</v>
      </c>
      <c r="K284" s="6">
        <v>0</v>
      </c>
      <c r="L284" s="6">
        <v>126.77</v>
      </c>
      <c r="M284" s="6">
        <v>0</v>
      </c>
      <c r="N284" s="6">
        <v>28215</v>
      </c>
    </row>
    <row r="285" spans="1:15" x14ac:dyDescent="0.2">
      <c r="A285" s="4" t="s">
        <v>14</v>
      </c>
      <c r="B285" s="4" t="s">
        <v>772</v>
      </c>
      <c r="C285" s="4">
        <v>9951</v>
      </c>
      <c r="D285" s="5">
        <v>45891</v>
      </c>
      <c r="E285" s="4">
        <v>901476410</v>
      </c>
      <c r="F285" s="4" t="s">
        <v>473</v>
      </c>
      <c r="G285" s="4">
        <v>901907732</v>
      </c>
      <c r="H285" s="4" t="s">
        <v>16</v>
      </c>
      <c r="I285" s="6">
        <v>311261</v>
      </c>
      <c r="J285" s="6">
        <v>59139</v>
      </c>
      <c r="K285" s="6">
        <v>0</v>
      </c>
      <c r="L285" s="6">
        <v>0</v>
      </c>
      <c r="M285" s="6">
        <v>0</v>
      </c>
      <c r="N285" s="6">
        <v>370400</v>
      </c>
      <c r="O285" s="16">
        <f t="shared" ref="O285:O286" si="5">+I285*2.5%</f>
        <v>7781.5250000000005</v>
      </c>
    </row>
    <row r="286" spans="1:15" x14ac:dyDescent="0.2">
      <c r="A286" s="4" t="s">
        <v>14</v>
      </c>
      <c r="B286" s="4" t="s">
        <v>773</v>
      </c>
      <c r="C286" s="4">
        <v>9950</v>
      </c>
      <c r="D286" s="5">
        <v>45891</v>
      </c>
      <c r="E286" s="4">
        <v>901476410</v>
      </c>
      <c r="F286" s="4" t="s">
        <v>473</v>
      </c>
      <c r="G286" s="4">
        <v>901907732</v>
      </c>
      <c r="H286" s="4" t="s">
        <v>16</v>
      </c>
      <c r="I286" s="6">
        <v>342000</v>
      </c>
      <c r="J286" s="6">
        <v>0</v>
      </c>
      <c r="K286" s="6">
        <v>0</v>
      </c>
      <c r="L286" s="6">
        <v>0</v>
      </c>
      <c r="M286" s="6">
        <v>0</v>
      </c>
      <c r="N286" s="6">
        <v>342000</v>
      </c>
      <c r="O286" s="16">
        <f t="shared" si="5"/>
        <v>8550</v>
      </c>
    </row>
    <row r="287" spans="1:15" x14ac:dyDescent="0.2">
      <c r="A287" s="4" t="s">
        <v>14</v>
      </c>
      <c r="B287" s="4" t="s">
        <v>774</v>
      </c>
      <c r="C287" s="4">
        <v>12562</v>
      </c>
      <c r="D287" s="5">
        <v>45891</v>
      </c>
      <c r="E287" s="4">
        <v>700108357</v>
      </c>
      <c r="F287" s="4" t="s">
        <v>470</v>
      </c>
      <c r="G287" s="4">
        <v>901907732</v>
      </c>
      <c r="H287" s="4" t="s">
        <v>471</v>
      </c>
      <c r="I287" s="6">
        <v>189000</v>
      </c>
      <c r="J287" s="6">
        <v>0</v>
      </c>
      <c r="K287" s="6">
        <v>0</v>
      </c>
      <c r="L287" s="6">
        <v>0</v>
      </c>
      <c r="M287" s="6">
        <v>0</v>
      </c>
      <c r="N287" s="6">
        <v>189000</v>
      </c>
      <c r="O287" s="16">
        <f>+I287*3.5%</f>
        <v>6615.0000000000009</v>
      </c>
    </row>
    <row r="288" spans="1:15" x14ac:dyDescent="0.2">
      <c r="A288" s="4" t="s">
        <v>14</v>
      </c>
      <c r="B288" s="4" t="s">
        <v>775</v>
      </c>
      <c r="C288" s="4">
        <v>7075924</v>
      </c>
      <c r="D288" s="5">
        <v>45891</v>
      </c>
      <c r="E288" s="4">
        <v>900219834</v>
      </c>
      <c r="F288" s="4" t="s">
        <v>439</v>
      </c>
      <c r="G288" s="4">
        <v>901907732</v>
      </c>
      <c r="H288" s="4" t="s">
        <v>444</v>
      </c>
      <c r="I288" s="6">
        <v>5042.0200000000004</v>
      </c>
      <c r="J288" s="6">
        <v>957.98</v>
      </c>
      <c r="K288" s="6">
        <v>0</v>
      </c>
      <c r="L288" s="6">
        <v>0</v>
      </c>
      <c r="M288" s="6">
        <v>0</v>
      </c>
      <c r="N288" s="6">
        <v>6000</v>
      </c>
    </row>
    <row r="289" spans="1:15" x14ac:dyDescent="0.2">
      <c r="A289" s="4" t="s">
        <v>14</v>
      </c>
      <c r="B289" s="4" t="s">
        <v>776</v>
      </c>
      <c r="C289" s="4">
        <v>1260</v>
      </c>
      <c r="D289" s="5">
        <v>45891</v>
      </c>
      <c r="E289" s="4">
        <v>93397337</v>
      </c>
      <c r="F289" s="4" t="s">
        <v>525</v>
      </c>
      <c r="G289" s="4">
        <v>901907732</v>
      </c>
      <c r="H289" s="4" t="s">
        <v>16</v>
      </c>
      <c r="I289" s="6">
        <v>100000</v>
      </c>
      <c r="J289" s="6">
        <v>0</v>
      </c>
      <c r="K289" s="6">
        <v>0</v>
      </c>
      <c r="L289" s="6">
        <v>0</v>
      </c>
      <c r="M289" s="6">
        <v>0</v>
      </c>
      <c r="N289" s="6">
        <v>100000</v>
      </c>
    </row>
    <row r="290" spans="1:15" x14ac:dyDescent="0.2">
      <c r="A290" s="4" t="s">
        <v>14</v>
      </c>
      <c r="B290" s="4" t="s">
        <v>777</v>
      </c>
      <c r="C290" s="4">
        <v>9926</v>
      </c>
      <c r="D290" s="5">
        <v>45891</v>
      </c>
      <c r="E290" s="4">
        <v>901476410</v>
      </c>
      <c r="F290" s="4" t="s">
        <v>473</v>
      </c>
      <c r="G290" s="4">
        <v>901907732</v>
      </c>
      <c r="H290" s="4" t="s">
        <v>16</v>
      </c>
      <c r="I290" s="6">
        <v>159664</v>
      </c>
      <c r="J290" s="6">
        <v>30336</v>
      </c>
      <c r="K290" s="6">
        <v>0</v>
      </c>
      <c r="L290" s="6">
        <v>0</v>
      </c>
      <c r="M290" s="6">
        <v>0</v>
      </c>
      <c r="N290" s="6">
        <v>190000</v>
      </c>
      <c r="O290" s="16">
        <f>+I290*2.5%</f>
        <v>3991.6000000000004</v>
      </c>
    </row>
    <row r="291" spans="1:15" x14ac:dyDescent="0.2">
      <c r="A291" s="4" t="s">
        <v>14</v>
      </c>
      <c r="B291" s="4" t="s">
        <v>778</v>
      </c>
      <c r="C291" s="4">
        <v>275873</v>
      </c>
      <c r="D291" s="5">
        <v>45890</v>
      </c>
      <c r="E291" s="4">
        <v>900439301</v>
      </c>
      <c r="F291" s="4" t="s">
        <v>767</v>
      </c>
      <c r="G291" s="4">
        <v>901907732</v>
      </c>
      <c r="H291" s="4" t="s">
        <v>450</v>
      </c>
      <c r="I291" s="6">
        <v>54537.82</v>
      </c>
      <c r="J291" s="6">
        <v>10362.18</v>
      </c>
      <c r="K291" s="6">
        <v>0</v>
      </c>
      <c r="L291" s="6">
        <v>0</v>
      </c>
      <c r="M291" s="6">
        <v>0</v>
      </c>
      <c r="N291" s="6">
        <v>64900</v>
      </c>
    </row>
    <row r="292" spans="1:15" x14ac:dyDescent="0.2">
      <c r="A292" s="4" t="s">
        <v>14</v>
      </c>
      <c r="B292" s="4" t="s">
        <v>779</v>
      </c>
      <c r="C292" s="4">
        <v>2</v>
      </c>
      <c r="D292" s="5">
        <v>45890</v>
      </c>
      <c r="E292" s="4">
        <v>901972453</v>
      </c>
      <c r="F292" s="4" t="s">
        <v>780</v>
      </c>
      <c r="G292" s="4">
        <v>901907732</v>
      </c>
      <c r="H292" s="4" t="s">
        <v>16</v>
      </c>
      <c r="I292" s="6">
        <v>92782</v>
      </c>
      <c r="J292" s="6">
        <v>17628.580000000002</v>
      </c>
      <c r="K292" s="6">
        <v>0</v>
      </c>
      <c r="L292" s="6">
        <v>0</v>
      </c>
      <c r="M292" s="6">
        <v>0</v>
      </c>
      <c r="N292" s="6">
        <v>110410.58</v>
      </c>
    </row>
    <row r="293" spans="1:15" x14ac:dyDescent="0.2">
      <c r="A293" s="4" t="s">
        <v>14</v>
      </c>
      <c r="B293" s="4" t="s">
        <v>781</v>
      </c>
      <c r="C293" s="4">
        <v>120197</v>
      </c>
      <c r="D293" s="5">
        <v>45889</v>
      </c>
      <c r="E293" s="4">
        <v>811000784</v>
      </c>
      <c r="F293" s="4" t="s">
        <v>456</v>
      </c>
      <c r="G293" s="4">
        <v>901907732</v>
      </c>
      <c r="H293" s="4" t="s">
        <v>457</v>
      </c>
      <c r="I293" s="6">
        <v>110084.03</v>
      </c>
      <c r="J293" s="6">
        <v>20915.97</v>
      </c>
      <c r="K293" s="6">
        <v>0</v>
      </c>
      <c r="L293" s="6">
        <v>0</v>
      </c>
      <c r="M293" s="6">
        <v>0</v>
      </c>
      <c r="N293" s="6">
        <v>131000</v>
      </c>
    </row>
    <row r="294" spans="1:15" x14ac:dyDescent="0.2">
      <c r="A294" s="4" t="s">
        <v>14</v>
      </c>
      <c r="B294" s="4" t="s">
        <v>782</v>
      </c>
      <c r="C294" s="4">
        <v>12543</v>
      </c>
      <c r="D294" s="5">
        <v>45888</v>
      </c>
      <c r="E294" s="4">
        <v>700108357</v>
      </c>
      <c r="F294" s="4" t="s">
        <v>470</v>
      </c>
      <c r="G294" s="4">
        <v>901907732</v>
      </c>
      <c r="H294" s="4" t="s">
        <v>471</v>
      </c>
      <c r="I294" s="6">
        <v>295000</v>
      </c>
      <c r="J294" s="6">
        <v>0</v>
      </c>
      <c r="K294" s="6">
        <v>0</v>
      </c>
      <c r="L294" s="6">
        <v>0</v>
      </c>
      <c r="M294" s="6">
        <v>0</v>
      </c>
      <c r="N294" s="6">
        <v>295000</v>
      </c>
      <c r="O294" s="16">
        <f>+I294*3.5%</f>
        <v>10325.000000000002</v>
      </c>
    </row>
    <row r="295" spans="1:15" x14ac:dyDescent="0.2">
      <c r="A295" s="4" t="s">
        <v>14</v>
      </c>
      <c r="B295" s="4" t="s">
        <v>783</v>
      </c>
      <c r="C295" s="4">
        <v>255367</v>
      </c>
      <c r="D295" s="5">
        <v>45885</v>
      </c>
      <c r="E295" s="4">
        <v>900276962</v>
      </c>
      <c r="F295" s="4" t="s">
        <v>551</v>
      </c>
      <c r="G295" s="4">
        <v>901907732</v>
      </c>
      <c r="H295" s="4" t="s">
        <v>552</v>
      </c>
      <c r="I295" s="6">
        <v>39210.100000000006</v>
      </c>
      <c r="J295" s="6">
        <v>7449.91</v>
      </c>
      <c r="K295" s="6">
        <v>0</v>
      </c>
      <c r="L295" s="6">
        <v>0</v>
      </c>
      <c r="M295" s="6">
        <v>0</v>
      </c>
      <c r="N295" s="6">
        <v>46660.01</v>
      </c>
    </row>
    <row r="296" spans="1:15" x14ac:dyDescent="0.2">
      <c r="A296" s="4" t="s">
        <v>784</v>
      </c>
      <c r="B296" s="4" t="s">
        <v>785</v>
      </c>
      <c r="C296" s="4">
        <v>18828</v>
      </c>
      <c r="D296" s="5">
        <v>45885</v>
      </c>
      <c r="E296" s="4">
        <v>901784030</v>
      </c>
      <c r="F296" s="4" t="s">
        <v>786</v>
      </c>
      <c r="G296" s="4">
        <v>901907732</v>
      </c>
      <c r="H296" s="4" t="s">
        <v>787</v>
      </c>
      <c r="I296" s="6">
        <v>54074.07</v>
      </c>
      <c r="J296" s="6">
        <v>0</v>
      </c>
      <c r="K296" s="6">
        <v>0</v>
      </c>
      <c r="L296" s="6">
        <v>4325.93</v>
      </c>
      <c r="M296" s="6">
        <v>0</v>
      </c>
      <c r="N296" s="6">
        <v>58400</v>
      </c>
    </row>
    <row r="297" spans="1:15" x14ac:dyDescent="0.2">
      <c r="A297" s="4" t="s">
        <v>14</v>
      </c>
      <c r="B297" s="4" t="s">
        <v>788</v>
      </c>
      <c r="C297" s="4">
        <v>274208</v>
      </c>
      <c r="D297" s="5">
        <v>45884</v>
      </c>
      <c r="E297" s="4">
        <v>900439301</v>
      </c>
      <c r="F297" s="4" t="s">
        <v>767</v>
      </c>
      <c r="G297" s="4">
        <v>901907732</v>
      </c>
      <c r="H297" s="4" t="s">
        <v>450</v>
      </c>
      <c r="I297" s="6">
        <v>27647.06</v>
      </c>
      <c r="J297" s="6">
        <v>5252.94</v>
      </c>
      <c r="K297" s="6">
        <v>0</v>
      </c>
      <c r="L297" s="6">
        <v>0</v>
      </c>
      <c r="M297" s="6">
        <v>0</v>
      </c>
      <c r="N297" s="6">
        <v>32900</v>
      </c>
    </row>
    <row r="298" spans="1:15" x14ac:dyDescent="0.2">
      <c r="A298" s="4" t="s">
        <v>14</v>
      </c>
      <c r="B298" s="4" t="s">
        <v>789</v>
      </c>
      <c r="C298" s="4">
        <v>5129</v>
      </c>
      <c r="D298" s="5">
        <v>45884</v>
      </c>
      <c r="E298" s="4">
        <v>901334425</v>
      </c>
      <c r="F298" s="4" t="s">
        <v>790</v>
      </c>
      <c r="G298" s="4">
        <v>901907732</v>
      </c>
      <c r="H298" s="4" t="s">
        <v>16</v>
      </c>
      <c r="I298" s="6">
        <v>12562140</v>
      </c>
      <c r="J298" s="6">
        <v>0</v>
      </c>
      <c r="K298" s="6">
        <v>0</v>
      </c>
      <c r="L298" s="6">
        <v>0</v>
      </c>
      <c r="M298" s="6">
        <v>0</v>
      </c>
      <c r="N298" s="6">
        <v>12562140</v>
      </c>
    </row>
    <row r="299" spans="1:15" x14ac:dyDescent="0.2">
      <c r="A299" s="4" t="s">
        <v>14</v>
      </c>
      <c r="B299" s="4" t="s">
        <v>791</v>
      </c>
      <c r="C299" s="4">
        <v>1259</v>
      </c>
      <c r="D299" s="5">
        <v>45884</v>
      </c>
      <c r="E299" s="4">
        <v>93397337</v>
      </c>
      <c r="F299" s="4" t="s">
        <v>525</v>
      </c>
      <c r="G299" s="4">
        <v>901907732</v>
      </c>
      <c r="H299" s="4" t="s">
        <v>16</v>
      </c>
      <c r="I299" s="6">
        <v>200000</v>
      </c>
      <c r="J299" s="6">
        <v>0</v>
      </c>
      <c r="K299" s="6">
        <v>0</v>
      </c>
      <c r="L299" s="6">
        <v>0</v>
      </c>
      <c r="M299" s="6">
        <v>0</v>
      </c>
      <c r="N299" s="6">
        <v>200000</v>
      </c>
    </row>
    <row r="300" spans="1:15" x14ac:dyDescent="0.2">
      <c r="A300" s="4" t="s">
        <v>14</v>
      </c>
      <c r="B300" s="4" t="s">
        <v>792</v>
      </c>
      <c r="C300" s="4">
        <v>9696</v>
      </c>
      <c r="D300" s="5">
        <v>45881</v>
      </c>
      <c r="E300" s="4">
        <v>901476410</v>
      </c>
      <c r="F300" s="4" t="s">
        <v>473</v>
      </c>
      <c r="G300" s="4">
        <v>901907732</v>
      </c>
      <c r="H300" s="4" t="s">
        <v>16</v>
      </c>
      <c r="I300" s="6">
        <v>15294</v>
      </c>
      <c r="J300" s="6">
        <v>2906</v>
      </c>
      <c r="K300" s="6">
        <v>0</v>
      </c>
      <c r="L300" s="6">
        <v>0</v>
      </c>
      <c r="M300" s="6">
        <v>0</v>
      </c>
      <c r="N300" s="6">
        <v>18200</v>
      </c>
      <c r="O300" s="16">
        <f>+I300*2.5%</f>
        <v>382.35</v>
      </c>
    </row>
    <row r="301" spans="1:15" x14ac:dyDescent="0.2">
      <c r="A301" s="4" t="s">
        <v>14</v>
      </c>
      <c r="B301" s="4" t="s">
        <v>793</v>
      </c>
      <c r="C301" s="4">
        <v>559232</v>
      </c>
      <c r="D301" s="5">
        <v>45880</v>
      </c>
      <c r="E301" s="4">
        <v>800091549</v>
      </c>
      <c r="F301" s="4" t="s">
        <v>408</v>
      </c>
      <c r="G301" s="4">
        <v>901907732</v>
      </c>
      <c r="H301" s="4" t="s">
        <v>427</v>
      </c>
      <c r="I301" s="6">
        <v>1132412</v>
      </c>
      <c r="J301" s="6">
        <v>0</v>
      </c>
      <c r="K301" s="6">
        <v>0</v>
      </c>
      <c r="L301" s="6">
        <v>0</v>
      </c>
      <c r="M301" s="6">
        <v>0</v>
      </c>
      <c r="N301" s="6">
        <v>1132412</v>
      </c>
    </row>
    <row r="302" spans="1:15" x14ac:dyDescent="0.2">
      <c r="A302" s="4" t="s">
        <v>14</v>
      </c>
      <c r="B302" s="4" t="s">
        <v>794</v>
      </c>
      <c r="C302" s="4">
        <v>559231</v>
      </c>
      <c r="D302" s="5">
        <v>45880</v>
      </c>
      <c r="E302" s="4">
        <v>800091549</v>
      </c>
      <c r="F302" s="4" t="s">
        <v>408</v>
      </c>
      <c r="G302" s="4">
        <v>901907732</v>
      </c>
      <c r="H302" s="4" t="s">
        <v>427</v>
      </c>
      <c r="I302" s="6">
        <v>857277</v>
      </c>
      <c r="J302" s="6">
        <v>0</v>
      </c>
      <c r="K302" s="6">
        <v>0</v>
      </c>
      <c r="L302" s="6">
        <v>0</v>
      </c>
      <c r="M302" s="6">
        <v>0</v>
      </c>
      <c r="N302" s="6">
        <v>857277</v>
      </c>
    </row>
    <row r="303" spans="1:15" x14ac:dyDescent="0.2">
      <c r="A303" s="4" t="s">
        <v>14</v>
      </c>
      <c r="B303" s="4" t="s">
        <v>795</v>
      </c>
      <c r="C303" s="4">
        <v>559230</v>
      </c>
      <c r="D303" s="5">
        <v>45880</v>
      </c>
      <c r="E303" s="4">
        <v>800091549</v>
      </c>
      <c r="F303" s="4" t="s">
        <v>408</v>
      </c>
      <c r="G303" s="4">
        <v>901907732</v>
      </c>
      <c r="H303" s="4" t="s">
        <v>427</v>
      </c>
      <c r="I303" s="6">
        <v>326931</v>
      </c>
      <c r="J303" s="6">
        <v>0</v>
      </c>
      <c r="K303" s="6">
        <v>0</v>
      </c>
      <c r="L303" s="6">
        <v>0</v>
      </c>
      <c r="M303" s="6">
        <v>0</v>
      </c>
      <c r="N303" s="6">
        <v>326931</v>
      </c>
    </row>
    <row r="304" spans="1:15" x14ac:dyDescent="0.2">
      <c r="A304" s="4" t="s">
        <v>14</v>
      </c>
      <c r="B304" s="4" t="s">
        <v>796</v>
      </c>
      <c r="C304" s="4">
        <v>559185</v>
      </c>
      <c r="D304" s="5">
        <v>45880</v>
      </c>
      <c r="E304" s="4">
        <v>800091549</v>
      </c>
      <c r="F304" s="4" t="s">
        <v>408</v>
      </c>
      <c r="G304" s="4">
        <v>901907732</v>
      </c>
      <c r="H304" s="4" t="s">
        <v>427</v>
      </c>
      <c r="I304" s="6">
        <v>445583</v>
      </c>
      <c r="J304" s="6">
        <v>0</v>
      </c>
      <c r="K304" s="6">
        <v>0</v>
      </c>
      <c r="L304" s="6">
        <v>0</v>
      </c>
      <c r="M304" s="6">
        <v>0</v>
      </c>
      <c r="N304" s="6">
        <v>445583</v>
      </c>
    </row>
    <row r="305" spans="1:15" x14ac:dyDescent="0.2">
      <c r="A305" s="4" t="s">
        <v>14</v>
      </c>
      <c r="B305" s="4" t="s">
        <v>797</v>
      </c>
      <c r="C305" s="4">
        <v>559184</v>
      </c>
      <c r="D305" s="5">
        <v>45880</v>
      </c>
      <c r="E305" s="4">
        <v>800091549</v>
      </c>
      <c r="F305" s="4" t="s">
        <v>408</v>
      </c>
      <c r="G305" s="4">
        <v>901907732</v>
      </c>
      <c r="H305" s="4" t="s">
        <v>427</v>
      </c>
      <c r="I305" s="6">
        <v>575753</v>
      </c>
      <c r="J305" s="6">
        <v>0</v>
      </c>
      <c r="K305" s="6">
        <v>0</v>
      </c>
      <c r="L305" s="6">
        <v>0</v>
      </c>
      <c r="M305" s="6">
        <v>0</v>
      </c>
      <c r="N305" s="6">
        <v>575753</v>
      </c>
    </row>
    <row r="306" spans="1:15" x14ac:dyDescent="0.2">
      <c r="A306" s="4" t="s">
        <v>14</v>
      </c>
      <c r="B306" s="4" t="s">
        <v>798</v>
      </c>
      <c r="C306" s="4">
        <v>559164</v>
      </c>
      <c r="D306" s="5">
        <v>45880</v>
      </c>
      <c r="E306" s="4">
        <v>800091549</v>
      </c>
      <c r="F306" s="4" t="s">
        <v>408</v>
      </c>
      <c r="G306" s="4">
        <v>901907732</v>
      </c>
      <c r="H306" s="4" t="s">
        <v>427</v>
      </c>
      <c r="I306" s="6">
        <v>240756</v>
      </c>
      <c r="J306" s="6">
        <v>0</v>
      </c>
      <c r="K306" s="6">
        <v>0</v>
      </c>
      <c r="L306" s="6">
        <v>0</v>
      </c>
      <c r="M306" s="6">
        <v>0</v>
      </c>
      <c r="N306" s="6">
        <v>240756</v>
      </c>
    </row>
    <row r="307" spans="1:15" x14ac:dyDescent="0.2">
      <c r="A307" s="4" t="s">
        <v>14</v>
      </c>
      <c r="B307" s="4" t="s">
        <v>799</v>
      </c>
      <c r="C307" s="4">
        <v>559161</v>
      </c>
      <c r="D307" s="5">
        <v>45880</v>
      </c>
      <c r="E307" s="4">
        <v>800091549</v>
      </c>
      <c r="F307" s="4" t="s">
        <v>408</v>
      </c>
      <c r="G307" s="4">
        <v>901907732</v>
      </c>
      <c r="H307" s="4" t="s">
        <v>427</v>
      </c>
      <c r="I307" s="6">
        <v>142402</v>
      </c>
      <c r="J307" s="6">
        <v>0</v>
      </c>
      <c r="K307" s="6">
        <v>0</v>
      </c>
      <c r="L307" s="6">
        <v>0</v>
      </c>
      <c r="M307" s="6">
        <v>0</v>
      </c>
      <c r="N307" s="6">
        <v>142402</v>
      </c>
    </row>
    <row r="308" spans="1:15" x14ac:dyDescent="0.2">
      <c r="A308" s="4" t="s">
        <v>14</v>
      </c>
      <c r="B308" s="4" t="s">
        <v>800</v>
      </c>
      <c r="C308" s="4">
        <v>559159</v>
      </c>
      <c r="D308" s="5">
        <v>45880</v>
      </c>
      <c r="E308" s="4">
        <v>800091549</v>
      </c>
      <c r="F308" s="4" t="s">
        <v>408</v>
      </c>
      <c r="G308" s="4">
        <v>901907732</v>
      </c>
      <c r="H308" s="4" t="s">
        <v>427</v>
      </c>
      <c r="I308" s="6">
        <v>349226</v>
      </c>
      <c r="J308" s="6">
        <v>0</v>
      </c>
      <c r="K308" s="6">
        <v>0</v>
      </c>
      <c r="L308" s="6">
        <v>0</v>
      </c>
      <c r="M308" s="6">
        <v>0</v>
      </c>
      <c r="N308" s="6">
        <v>349226</v>
      </c>
    </row>
    <row r="309" spans="1:15" x14ac:dyDescent="0.2">
      <c r="A309" s="4" t="s">
        <v>14</v>
      </c>
      <c r="B309" s="4" t="s">
        <v>801</v>
      </c>
      <c r="C309" s="4">
        <v>559144</v>
      </c>
      <c r="D309" s="5">
        <v>45880</v>
      </c>
      <c r="E309" s="4">
        <v>800091549</v>
      </c>
      <c r="F309" s="4" t="s">
        <v>408</v>
      </c>
      <c r="G309" s="4">
        <v>901907732</v>
      </c>
      <c r="H309" s="4" t="s">
        <v>427</v>
      </c>
      <c r="I309" s="6">
        <v>2610585</v>
      </c>
      <c r="J309" s="6">
        <v>0</v>
      </c>
      <c r="K309" s="6">
        <v>0</v>
      </c>
      <c r="L309" s="6">
        <v>0</v>
      </c>
      <c r="M309" s="6">
        <v>0</v>
      </c>
      <c r="N309" s="6">
        <v>2610585</v>
      </c>
    </row>
    <row r="310" spans="1:15" x14ac:dyDescent="0.2">
      <c r="A310" s="4" t="s">
        <v>14</v>
      </c>
      <c r="B310" s="4" t="s">
        <v>802</v>
      </c>
      <c r="C310" s="4">
        <v>559126</v>
      </c>
      <c r="D310" s="5">
        <v>45880</v>
      </c>
      <c r="E310" s="4">
        <v>800091549</v>
      </c>
      <c r="F310" s="4" t="s">
        <v>408</v>
      </c>
      <c r="G310" s="4">
        <v>901907732</v>
      </c>
      <c r="H310" s="4" t="s">
        <v>427</v>
      </c>
      <c r="I310" s="6">
        <v>754941</v>
      </c>
      <c r="J310" s="6">
        <v>0</v>
      </c>
      <c r="K310" s="6">
        <v>0</v>
      </c>
      <c r="L310" s="6">
        <v>0</v>
      </c>
      <c r="M310" s="6">
        <v>0</v>
      </c>
      <c r="N310" s="6">
        <v>754941</v>
      </c>
    </row>
    <row r="311" spans="1:15" x14ac:dyDescent="0.2">
      <c r="A311" s="4" t="s">
        <v>14</v>
      </c>
      <c r="B311" s="4" t="s">
        <v>803</v>
      </c>
      <c r="C311" s="4">
        <v>559125</v>
      </c>
      <c r="D311" s="5">
        <v>45880</v>
      </c>
      <c r="E311" s="4">
        <v>800091549</v>
      </c>
      <c r="F311" s="4" t="s">
        <v>408</v>
      </c>
      <c r="G311" s="4">
        <v>901907732</v>
      </c>
      <c r="H311" s="4" t="s">
        <v>427</v>
      </c>
      <c r="I311" s="6">
        <v>133502</v>
      </c>
      <c r="J311" s="6">
        <v>0</v>
      </c>
      <c r="K311" s="6">
        <v>0</v>
      </c>
      <c r="L311" s="6">
        <v>0</v>
      </c>
      <c r="M311" s="6">
        <v>0</v>
      </c>
      <c r="N311" s="6">
        <v>133502</v>
      </c>
    </row>
    <row r="312" spans="1:15" x14ac:dyDescent="0.2">
      <c r="A312" s="4" t="s">
        <v>14</v>
      </c>
      <c r="B312" s="4" t="s">
        <v>804</v>
      </c>
      <c r="C312" s="4">
        <v>559124</v>
      </c>
      <c r="D312" s="5">
        <v>45880</v>
      </c>
      <c r="E312" s="4">
        <v>800091549</v>
      </c>
      <c r="F312" s="4" t="s">
        <v>408</v>
      </c>
      <c r="G312" s="4">
        <v>901907732</v>
      </c>
      <c r="H312" s="4" t="s">
        <v>427</v>
      </c>
      <c r="I312" s="6">
        <v>847634</v>
      </c>
      <c r="J312" s="6">
        <v>0</v>
      </c>
      <c r="K312" s="6">
        <v>0</v>
      </c>
      <c r="L312" s="6">
        <v>0</v>
      </c>
      <c r="M312" s="6">
        <v>0</v>
      </c>
      <c r="N312" s="6">
        <v>847634</v>
      </c>
    </row>
    <row r="313" spans="1:15" x14ac:dyDescent="0.2">
      <c r="A313" s="4" t="s">
        <v>14</v>
      </c>
      <c r="B313" s="4" t="s">
        <v>805</v>
      </c>
      <c r="C313" s="4">
        <v>2034</v>
      </c>
      <c r="D313" s="5">
        <v>45880</v>
      </c>
      <c r="E313" s="4">
        <v>901224934</v>
      </c>
      <c r="F313" s="4" t="s">
        <v>806</v>
      </c>
      <c r="G313" s="4">
        <v>901907732</v>
      </c>
      <c r="H313" s="4" t="s">
        <v>16</v>
      </c>
      <c r="I313" s="6">
        <v>180000</v>
      </c>
      <c r="J313" s="6">
        <v>0</v>
      </c>
      <c r="K313" s="6">
        <v>0</v>
      </c>
      <c r="L313" s="6">
        <v>0</v>
      </c>
      <c r="M313" s="6">
        <v>0</v>
      </c>
      <c r="N313" s="6">
        <v>180000</v>
      </c>
    </row>
    <row r="314" spans="1:15" x14ac:dyDescent="0.2">
      <c r="A314" s="4" t="s">
        <v>14</v>
      </c>
      <c r="B314" s="4" t="s">
        <v>807</v>
      </c>
      <c r="C314" s="4">
        <v>559111</v>
      </c>
      <c r="D314" s="5">
        <v>45880</v>
      </c>
      <c r="E314" s="4">
        <v>800091549</v>
      </c>
      <c r="F314" s="4" t="s">
        <v>408</v>
      </c>
      <c r="G314" s="4">
        <v>901907732</v>
      </c>
      <c r="H314" s="4" t="s">
        <v>427</v>
      </c>
      <c r="I314" s="6">
        <v>499387</v>
      </c>
      <c r="J314" s="6">
        <v>0</v>
      </c>
      <c r="K314" s="6">
        <v>0</v>
      </c>
      <c r="L314" s="6">
        <v>0</v>
      </c>
      <c r="M314" s="6">
        <v>0</v>
      </c>
      <c r="N314" s="6">
        <v>499387</v>
      </c>
    </row>
    <row r="315" spans="1:15" x14ac:dyDescent="0.2">
      <c r="A315" s="4" t="s">
        <v>14</v>
      </c>
      <c r="B315" s="4" t="s">
        <v>808</v>
      </c>
      <c r="C315" s="4">
        <v>12510</v>
      </c>
      <c r="D315" s="5">
        <v>45880</v>
      </c>
      <c r="E315" s="4">
        <v>700108357</v>
      </c>
      <c r="F315" s="4" t="s">
        <v>470</v>
      </c>
      <c r="G315" s="4">
        <v>901907732</v>
      </c>
      <c r="H315" s="4" t="s">
        <v>471</v>
      </c>
      <c r="I315" s="6">
        <v>296500</v>
      </c>
      <c r="J315" s="6">
        <v>0</v>
      </c>
      <c r="K315" s="6">
        <v>0</v>
      </c>
      <c r="L315" s="6">
        <v>0</v>
      </c>
      <c r="M315" s="6">
        <v>0</v>
      </c>
      <c r="N315" s="6">
        <v>296500</v>
      </c>
      <c r="O315" s="16">
        <f>+I315*3.5%</f>
        <v>10377.500000000002</v>
      </c>
    </row>
    <row r="316" spans="1:15" x14ac:dyDescent="0.2">
      <c r="A316" s="4" t="s">
        <v>14</v>
      </c>
      <c r="B316" s="4" t="s">
        <v>809</v>
      </c>
      <c r="C316" s="4">
        <v>143002472</v>
      </c>
      <c r="D316" s="5">
        <v>45880</v>
      </c>
      <c r="E316" s="4">
        <v>830114921</v>
      </c>
      <c r="F316" s="4" t="s">
        <v>459</v>
      </c>
      <c r="G316" s="4">
        <v>901907732</v>
      </c>
      <c r="H316" s="4" t="s">
        <v>460</v>
      </c>
      <c r="I316" s="6">
        <v>26243.519999999997</v>
      </c>
      <c r="J316" s="6">
        <v>4986.26</v>
      </c>
      <c r="K316" s="6">
        <v>0</v>
      </c>
      <c r="L316" s="6">
        <v>495.22</v>
      </c>
      <c r="M316" s="6">
        <v>0</v>
      </c>
      <c r="N316" s="6">
        <v>31725</v>
      </c>
    </row>
    <row r="317" spans="1:15" x14ac:dyDescent="0.2">
      <c r="A317" s="4" t="s">
        <v>14</v>
      </c>
      <c r="B317" s="4" t="s">
        <v>810</v>
      </c>
      <c r="C317" s="4">
        <v>558625</v>
      </c>
      <c r="D317" s="5">
        <v>45877</v>
      </c>
      <c r="E317" s="4">
        <v>800091549</v>
      </c>
      <c r="F317" s="4" t="s">
        <v>408</v>
      </c>
      <c r="G317" s="4">
        <v>901907732</v>
      </c>
      <c r="H317" s="4" t="s">
        <v>427</v>
      </c>
      <c r="I317" s="6">
        <v>1425725</v>
      </c>
      <c r="J317" s="6">
        <v>0</v>
      </c>
      <c r="K317" s="6">
        <v>0</v>
      </c>
      <c r="L317" s="6">
        <v>0</v>
      </c>
      <c r="M317" s="6">
        <v>0</v>
      </c>
      <c r="N317" s="6">
        <v>1425725</v>
      </c>
    </row>
    <row r="318" spans="1:15" x14ac:dyDescent="0.2">
      <c r="A318" s="4" t="s">
        <v>14</v>
      </c>
      <c r="B318" s="4" t="s">
        <v>811</v>
      </c>
      <c r="C318" s="4">
        <v>14725</v>
      </c>
      <c r="D318" s="5">
        <v>45877</v>
      </c>
      <c r="E318" s="4">
        <v>900594706</v>
      </c>
      <c r="F318" s="4" t="s">
        <v>530</v>
      </c>
      <c r="G318" s="4">
        <v>901907732</v>
      </c>
      <c r="H318" s="4" t="s">
        <v>16</v>
      </c>
      <c r="I318" s="6">
        <v>55000</v>
      </c>
      <c r="J318" s="6">
        <v>10450</v>
      </c>
      <c r="K318" s="6">
        <v>0</v>
      </c>
      <c r="L318" s="6">
        <v>0</v>
      </c>
      <c r="M318" s="6">
        <v>0</v>
      </c>
      <c r="N318" s="6">
        <v>65450</v>
      </c>
    </row>
    <row r="319" spans="1:15" x14ac:dyDescent="0.2">
      <c r="A319" s="4" t="s">
        <v>14</v>
      </c>
      <c r="B319" s="4" t="s">
        <v>812</v>
      </c>
      <c r="C319" s="4">
        <v>1078</v>
      </c>
      <c r="D319" s="5">
        <v>45877</v>
      </c>
      <c r="E319" s="4">
        <v>8026157</v>
      </c>
      <c r="F319" s="4" t="s">
        <v>813</v>
      </c>
      <c r="G319" s="4">
        <v>901907732</v>
      </c>
      <c r="H319" s="4" t="s">
        <v>16</v>
      </c>
      <c r="I319" s="6">
        <v>207000</v>
      </c>
      <c r="J319" s="6">
        <v>39330</v>
      </c>
      <c r="K319" s="6">
        <v>0</v>
      </c>
      <c r="L319" s="6">
        <v>0</v>
      </c>
      <c r="M319" s="6">
        <v>0</v>
      </c>
      <c r="N319" s="6">
        <v>246330</v>
      </c>
    </row>
    <row r="320" spans="1:15" x14ac:dyDescent="0.2">
      <c r="A320" s="4" t="s">
        <v>14</v>
      </c>
      <c r="B320" s="4" t="s">
        <v>814</v>
      </c>
      <c r="C320" s="4">
        <v>1255</v>
      </c>
      <c r="D320" s="5">
        <v>45877</v>
      </c>
      <c r="E320" s="4">
        <v>93397337</v>
      </c>
      <c r="F320" s="4" t="s">
        <v>525</v>
      </c>
      <c r="G320" s="4">
        <v>901907732</v>
      </c>
      <c r="H320" s="4" t="s">
        <v>16</v>
      </c>
      <c r="I320" s="6">
        <v>100000</v>
      </c>
      <c r="J320" s="6">
        <v>0</v>
      </c>
      <c r="K320" s="6">
        <v>0</v>
      </c>
      <c r="L320" s="6">
        <v>0</v>
      </c>
      <c r="M320" s="6">
        <v>0</v>
      </c>
      <c r="N320" s="6">
        <v>100000</v>
      </c>
    </row>
    <row r="321" spans="1:15" x14ac:dyDescent="0.2">
      <c r="A321" s="4" t="s">
        <v>14</v>
      </c>
      <c r="B321" s="4" t="s">
        <v>815</v>
      </c>
      <c r="C321" s="4">
        <v>180622</v>
      </c>
      <c r="D321" s="5">
        <v>45874</v>
      </c>
      <c r="E321" s="4">
        <v>901192317</v>
      </c>
      <c r="F321" s="4" t="s">
        <v>492</v>
      </c>
      <c r="G321" s="4">
        <v>901907732</v>
      </c>
      <c r="H321" s="4" t="s">
        <v>16</v>
      </c>
      <c r="I321" s="6">
        <v>161641.64000000001</v>
      </c>
      <c r="J321" s="6">
        <v>30712</v>
      </c>
      <c r="K321" s="6">
        <v>0</v>
      </c>
      <c r="L321" s="6">
        <v>0</v>
      </c>
      <c r="M321" s="6">
        <v>0</v>
      </c>
      <c r="N321" s="6">
        <v>192353.64</v>
      </c>
    </row>
    <row r="322" spans="1:15" x14ac:dyDescent="0.2">
      <c r="A322" s="4" t="s">
        <v>14</v>
      </c>
      <c r="B322" s="4" t="s">
        <v>816</v>
      </c>
      <c r="C322" s="4">
        <v>6854</v>
      </c>
      <c r="D322" s="5">
        <v>45874</v>
      </c>
      <c r="E322" s="4">
        <v>900762275</v>
      </c>
      <c r="F322" s="4" t="s">
        <v>532</v>
      </c>
      <c r="G322" s="4">
        <v>901907732</v>
      </c>
      <c r="H322" s="4" t="s">
        <v>16</v>
      </c>
      <c r="I322" s="6">
        <v>1485618.48</v>
      </c>
      <c r="J322" s="6">
        <v>0</v>
      </c>
      <c r="K322" s="6">
        <v>0</v>
      </c>
      <c r="L322" s="6">
        <v>0</v>
      </c>
      <c r="M322" s="6">
        <v>0</v>
      </c>
      <c r="N322" s="6">
        <v>1485618.48</v>
      </c>
    </row>
    <row r="323" spans="1:15" x14ac:dyDescent="0.2">
      <c r="A323" s="4" t="s">
        <v>14</v>
      </c>
      <c r="B323" s="4" t="s">
        <v>817</v>
      </c>
      <c r="C323" s="4">
        <v>428749</v>
      </c>
      <c r="D323" s="5">
        <v>45874</v>
      </c>
      <c r="E323" s="4">
        <v>900181068</v>
      </c>
      <c r="F323" s="4" t="s">
        <v>708</v>
      </c>
      <c r="G323" s="4">
        <v>901907732</v>
      </c>
      <c r="H323" s="4" t="s">
        <v>16</v>
      </c>
      <c r="I323" s="6">
        <v>145471.4</v>
      </c>
      <c r="J323" s="6">
        <v>27639.56</v>
      </c>
      <c r="K323" s="6">
        <v>0</v>
      </c>
      <c r="L323" s="6">
        <v>0</v>
      </c>
      <c r="M323" s="6">
        <v>0</v>
      </c>
      <c r="N323" s="6">
        <v>173110.96</v>
      </c>
    </row>
    <row r="324" spans="1:15" x14ac:dyDescent="0.2">
      <c r="A324" s="4" t="s">
        <v>14</v>
      </c>
      <c r="B324" s="4" t="s">
        <v>818</v>
      </c>
      <c r="C324" s="4">
        <v>6321</v>
      </c>
      <c r="D324" s="5">
        <v>45874</v>
      </c>
      <c r="E324" s="4">
        <v>901519900</v>
      </c>
      <c r="F324" s="4" t="s">
        <v>467</v>
      </c>
      <c r="G324" s="4">
        <v>901907732</v>
      </c>
      <c r="H324" s="4" t="s">
        <v>16</v>
      </c>
      <c r="I324" s="6">
        <v>34000</v>
      </c>
      <c r="J324" s="6">
        <v>0</v>
      </c>
      <c r="K324" s="6">
        <v>0</v>
      </c>
      <c r="L324" s="6">
        <v>0</v>
      </c>
      <c r="M324" s="6">
        <v>0</v>
      </c>
      <c r="N324" s="6">
        <v>34000</v>
      </c>
    </row>
    <row r="325" spans="1:15" x14ac:dyDescent="0.2">
      <c r="A325" s="4" t="s">
        <v>14</v>
      </c>
      <c r="B325" s="4" t="s">
        <v>819</v>
      </c>
      <c r="C325" s="4">
        <v>31385</v>
      </c>
      <c r="D325" s="5">
        <v>45873</v>
      </c>
      <c r="E325" s="4">
        <v>900449084</v>
      </c>
      <c r="F325" s="4" t="s">
        <v>820</v>
      </c>
      <c r="G325" s="4">
        <v>901907732</v>
      </c>
      <c r="H325" s="4" t="s">
        <v>16</v>
      </c>
      <c r="I325" s="6">
        <v>3824256</v>
      </c>
      <c r="J325" s="6">
        <v>726609</v>
      </c>
      <c r="K325" s="6">
        <v>0</v>
      </c>
      <c r="L325" s="6">
        <v>0</v>
      </c>
      <c r="M325" s="6">
        <v>0</v>
      </c>
      <c r="N325" s="6">
        <v>4550865</v>
      </c>
    </row>
    <row r="326" spans="1:15" x14ac:dyDescent="0.2">
      <c r="A326" s="4" t="s">
        <v>14</v>
      </c>
      <c r="B326" s="4" t="s">
        <v>821</v>
      </c>
      <c r="C326" s="4">
        <v>3460575</v>
      </c>
      <c r="D326" s="5">
        <v>45873</v>
      </c>
      <c r="E326" s="4">
        <v>890905080</v>
      </c>
      <c r="F326" s="4" t="s">
        <v>722</v>
      </c>
      <c r="G326" s="4">
        <v>901907732</v>
      </c>
      <c r="H326" s="4" t="s">
        <v>16</v>
      </c>
      <c r="I326" s="6">
        <v>11600</v>
      </c>
      <c r="J326" s="6">
        <v>0</v>
      </c>
      <c r="K326" s="6">
        <v>0</v>
      </c>
      <c r="L326" s="6">
        <v>0</v>
      </c>
      <c r="M326" s="6">
        <v>0</v>
      </c>
      <c r="N326" s="6">
        <v>11600</v>
      </c>
    </row>
    <row r="327" spans="1:15" x14ac:dyDescent="0.2">
      <c r="A327" s="4" t="s">
        <v>14</v>
      </c>
      <c r="B327" s="4" t="s">
        <v>822</v>
      </c>
      <c r="C327" s="4">
        <v>68885</v>
      </c>
      <c r="D327" s="5">
        <v>45871</v>
      </c>
      <c r="E327" s="4">
        <v>1128404762</v>
      </c>
      <c r="F327" s="4" t="s">
        <v>823</v>
      </c>
      <c r="G327" s="4">
        <v>901907732</v>
      </c>
      <c r="H327" s="4" t="s">
        <v>16</v>
      </c>
      <c r="I327" s="6">
        <v>60000</v>
      </c>
      <c r="J327" s="6">
        <v>11400</v>
      </c>
      <c r="K327" s="6">
        <v>0</v>
      </c>
      <c r="L327" s="6">
        <v>0</v>
      </c>
      <c r="M327" s="6">
        <v>0</v>
      </c>
      <c r="N327" s="6">
        <v>71400</v>
      </c>
    </row>
    <row r="328" spans="1:15" x14ac:dyDescent="0.2">
      <c r="A328" s="4" t="s">
        <v>14</v>
      </c>
      <c r="B328" s="4" t="s">
        <v>824</v>
      </c>
      <c r="C328" s="4">
        <v>109078</v>
      </c>
      <c r="D328" s="5">
        <v>45870</v>
      </c>
      <c r="E328" s="4">
        <v>900584970</v>
      </c>
      <c r="F328" s="4" t="s">
        <v>501</v>
      </c>
      <c r="G328" s="4">
        <v>901907732</v>
      </c>
      <c r="H328" s="4" t="s">
        <v>16</v>
      </c>
      <c r="I328" s="6">
        <v>74583</v>
      </c>
      <c r="J328" s="6">
        <v>14171</v>
      </c>
      <c r="K328" s="6">
        <v>0</v>
      </c>
      <c r="L328" s="6">
        <v>0</v>
      </c>
      <c r="M328" s="6">
        <v>0</v>
      </c>
      <c r="N328" s="6">
        <v>88754</v>
      </c>
    </row>
    <row r="329" spans="1:15" x14ac:dyDescent="0.2">
      <c r="A329" s="4" t="s">
        <v>14</v>
      </c>
      <c r="B329" s="4" t="s">
        <v>825</v>
      </c>
      <c r="C329" s="4">
        <v>208</v>
      </c>
      <c r="D329" s="5">
        <v>45870</v>
      </c>
      <c r="E329" s="4">
        <v>901192317</v>
      </c>
      <c r="F329" s="4" t="s">
        <v>492</v>
      </c>
      <c r="G329" s="4">
        <v>901907732</v>
      </c>
      <c r="H329" s="4" t="s">
        <v>16</v>
      </c>
      <c r="I329" s="6">
        <v>94062.6</v>
      </c>
      <c r="J329" s="6">
        <v>17873</v>
      </c>
      <c r="K329" s="6">
        <v>0</v>
      </c>
      <c r="L329" s="6">
        <v>0</v>
      </c>
      <c r="M329" s="6">
        <v>0</v>
      </c>
      <c r="N329" s="6">
        <v>111935.6</v>
      </c>
    </row>
    <row r="330" spans="1:15" x14ac:dyDescent="0.2">
      <c r="A330" s="4" t="s">
        <v>14</v>
      </c>
      <c r="B330" s="4" t="s">
        <v>826</v>
      </c>
      <c r="C330" s="4">
        <v>114259</v>
      </c>
      <c r="D330" s="5">
        <v>45869</v>
      </c>
      <c r="E330" s="4">
        <v>811000784</v>
      </c>
      <c r="F330" s="4" t="s">
        <v>456</v>
      </c>
      <c r="G330" s="4">
        <v>901907732</v>
      </c>
      <c r="H330" s="4" t="s">
        <v>457</v>
      </c>
      <c r="I330" s="6">
        <v>7394.96</v>
      </c>
      <c r="J330" s="6">
        <v>1405.04</v>
      </c>
      <c r="K330" s="6">
        <v>0</v>
      </c>
      <c r="L330" s="6">
        <v>0</v>
      </c>
      <c r="M330" s="6">
        <v>0</v>
      </c>
      <c r="N330" s="6">
        <v>8800</v>
      </c>
    </row>
    <row r="331" spans="1:15" x14ac:dyDescent="0.2">
      <c r="A331" s="4" t="s">
        <v>14</v>
      </c>
      <c r="B331" s="4" t="s">
        <v>827</v>
      </c>
      <c r="C331" s="4">
        <v>180087</v>
      </c>
      <c r="D331" s="5">
        <v>45869</v>
      </c>
      <c r="E331" s="4">
        <v>901192317</v>
      </c>
      <c r="F331" s="4" t="s">
        <v>492</v>
      </c>
      <c r="G331" s="4">
        <v>901907732</v>
      </c>
      <c r="H331" s="4" t="s">
        <v>16</v>
      </c>
      <c r="I331" s="6">
        <v>2013135</v>
      </c>
      <c r="J331" s="6">
        <v>382496</v>
      </c>
      <c r="K331" s="6">
        <v>0</v>
      </c>
      <c r="L331" s="6">
        <v>0</v>
      </c>
      <c r="M331" s="6">
        <v>0</v>
      </c>
      <c r="N331" s="6">
        <v>2395631</v>
      </c>
      <c r="O331" s="16">
        <f t="shared" ref="O331:O332" si="6">+I331*2.5%</f>
        <v>50328.375</v>
      </c>
    </row>
    <row r="332" spans="1:15" x14ac:dyDescent="0.2">
      <c r="A332" s="4" t="s">
        <v>14</v>
      </c>
      <c r="B332" s="4" t="s">
        <v>828</v>
      </c>
      <c r="C332" s="4">
        <v>180086</v>
      </c>
      <c r="D332" s="5">
        <v>45869</v>
      </c>
      <c r="E332" s="4">
        <v>901192317</v>
      </c>
      <c r="F332" s="4" t="s">
        <v>492</v>
      </c>
      <c r="G332" s="4">
        <v>901907732</v>
      </c>
      <c r="H332" s="4" t="s">
        <v>16</v>
      </c>
      <c r="I332" s="6">
        <v>4957947.8600000003</v>
      </c>
      <c r="J332" s="6">
        <v>942011</v>
      </c>
      <c r="K332" s="6">
        <v>0</v>
      </c>
      <c r="L332" s="6">
        <v>0</v>
      </c>
      <c r="M332" s="6">
        <v>0</v>
      </c>
      <c r="N332" s="6">
        <v>5899958.8600000003</v>
      </c>
      <c r="O332" s="16">
        <f t="shared" si="6"/>
        <v>123948.69650000002</v>
      </c>
    </row>
    <row r="333" spans="1:15" x14ac:dyDescent="0.2">
      <c r="A333" s="4" t="s">
        <v>14</v>
      </c>
      <c r="B333" s="4" t="s">
        <v>829</v>
      </c>
      <c r="C333" s="4">
        <v>556688</v>
      </c>
      <c r="D333" s="5">
        <v>45869</v>
      </c>
      <c r="E333" s="4">
        <v>800091549</v>
      </c>
      <c r="F333" s="4" t="s">
        <v>408</v>
      </c>
      <c r="G333" s="4">
        <v>901907732</v>
      </c>
      <c r="H333" s="4" t="s">
        <v>427</v>
      </c>
      <c r="I333" s="6">
        <v>1537762</v>
      </c>
      <c r="J333" s="6">
        <v>0</v>
      </c>
      <c r="K333" s="6">
        <v>0</v>
      </c>
      <c r="L333" s="6">
        <v>0</v>
      </c>
      <c r="M333" s="6">
        <v>0</v>
      </c>
      <c r="N333" s="6">
        <v>1537762</v>
      </c>
    </row>
    <row r="334" spans="1:15" x14ac:dyDescent="0.2">
      <c r="A334" s="4" t="s">
        <v>14</v>
      </c>
      <c r="B334" s="4" t="s">
        <v>830</v>
      </c>
      <c r="C334" s="4">
        <v>12475</v>
      </c>
      <c r="D334" s="5">
        <v>45869</v>
      </c>
      <c r="E334" s="4">
        <v>700108357</v>
      </c>
      <c r="F334" s="4" t="s">
        <v>470</v>
      </c>
      <c r="G334" s="4">
        <v>901907732</v>
      </c>
      <c r="H334" s="4" t="s">
        <v>471</v>
      </c>
      <c r="I334" s="6">
        <v>245000</v>
      </c>
      <c r="J334" s="6">
        <v>0</v>
      </c>
      <c r="K334" s="6">
        <v>0</v>
      </c>
      <c r="L334" s="6">
        <v>0</v>
      </c>
      <c r="M334" s="6">
        <v>0</v>
      </c>
      <c r="N334" s="6">
        <v>245000</v>
      </c>
      <c r="O334" s="16">
        <f>+I334*3.5%</f>
        <v>8575</v>
      </c>
    </row>
    <row r="335" spans="1:15" x14ac:dyDescent="0.2">
      <c r="A335" s="4" t="s">
        <v>14</v>
      </c>
      <c r="B335" s="4" t="s">
        <v>831</v>
      </c>
      <c r="C335" s="4">
        <v>4291</v>
      </c>
      <c r="D335" s="5">
        <v>45868</v>
      </c>
      <c r="E335" s="4">
        <v>1128277256</v>
      </c>
      <c r="F335" s="4" t="s">
        <v>832</v>
      </c>
      <c r="G335" s="4">
        <v>901907732</v>
      </c>
      <c r="H335" s="4" t="s">
        <v>16</v>
      </c>
      <c r="I335" s="6">
        <v>518487.4</v>
      </c>
      <c r="J335" s="6">
        <v>98512.61</v>
      </c>
      <c r="K335" s="6">
        <v>0</v>
      </c>
      <c r="L335" s="6">
        <v>0</v>
      </c>
      <c r="M335" s="6">
        <v>0</v>
      </c>
      <c r="N335" s="6">
        <v>617000.01</v>
      </c>
    </row>
    <row r="336" spans="1:15" x14ac:dyDescent="0.2">
      <c r="A336" s="4" t="s">
        <v>14</v>
      </c>
      <c r="B336" s="4" t="s">
        <v>833</v>
      </c>
      <c r="C336" s="4">
        <v>30427</v>
      </c>
      <c r="D336" s="5">
        <v>45868</v>
      </c>
      <c r="E336" s="4">
        <v>43645742</v>
      </c>
      <c r="F336" s="4" t="s">
        <v>622</v>
      </c>
      <c r="G336" s="4">
        <v>901907732</v>
      </c>
      <c r="H336" s="4" t="s">
        <v>16</v>
      </c>
      <c r="I336" s="6">
        <v>468067.17999999993</v>
      </c>
      <c r="J336" s="6">
        <v>88932.76</v>
      </c>
      <c r="K336" s="6">
        <v>0</v>
      </c>
      <c r="L336" s="6">
        <v>0</v>
      </c>
      <c r="M336" s="6">
        <v>0</v>
      </c>
      <c r="N336" s="6">
        <v>556999.93999999994</v>
      </c>
    </row>
    <row r="337" spans="1:15" x14ac:dyDescent="0.2">
      <c r="A337" s="4" t="s">
        <v>14</v>
      </c>
      <c r="B337" s="4" t="s">
        <v>834</v>
      </c>
      <c r="C337" s="4">
        <v>74405</v>
      </c>
      <c r="D337" s="5">
        <v>45868</v>
      </c>
      <c r="E337" s="4">
        <v>830085336</v>
      </c>
      <c r="F337" s="4" t="s">
        <v>449</v>
      </c>
      <c r="G337" s="4">
        <v>901907732</v>
      </c>
      <c r="H337" s="4" t="s">
        <v>450</v>
      </c>
      <c r="I337" s="6">
        <v>159663.87</v>
      </c>
      <c r="J337" s="6">
        <v>30336.15</v>
      </c>
      <c r="K337" s="6">
        <v>0</v>
      </c>
      <c r="L337" s="6">
        <v>0</v>
      </c>
      <c r="M337" s="6">
        <v>0</v>
      </c>
      <c r="N337" s="6">
        <v>190000.02</v>
      </c>
    </row>
    <row r="338" spans="1:15" x14ac:dyDescent="0.2">
      <c r="A338" s="4" t="s">
        <v>14</v>
      </c>
      <c r="B338" s="4" t="s">
        <v>835</v>
      </c>
      <c r="C338" s="4">
        <v>49661</v>
      </c>
      <c r="D338" s="5">
        <v>45867</v>
      </c>
      <c r="E338" s="4">
        <v>901113791</v>
      </c>
      <c r="F338" s="4" t="s">
        <v>836</v>
      </c>
      <c r="G338" s="4">
        <v>901907732</v>
      </c>
      <c r="H338" s="4" t="s">
        <v>837</v>
      </c>
      <c r="I338" s="6">
        <v>229779</v>
      </c>
      <c r="J338" s="6">
        <v>0</v>
      </c>
      <c r="K338" s="6">
        <v>0</v>
      </c>
      <c r="L338" s="6">
        <v>16710</v>
      </c>
      <c r="M338" s="6">
        <v>0</v>
      </c>
      <c r="N338" s="6">
        <v>246489</v>
      </c>
    </row>
    <row r="339" spans="1:15" x14ac:dyDescent="0.2">
      <c r="A339" s="4" t="s">
        <v>14</v>
      </c>
      <c r="B339" s="4" t="s">
        <v>838</v>
      </c>
      <c r="C339" s="4">
        <v>139938665</v>
      </c>
      <c r="D339" s="5">
        <v>45864</v>
      </c>
      <c r="E339" s="4">
        <v>830114921</v>
      </c>
      <c r="F339" s="4" t="s">
        <v>459</v>
      </c>
      <c r="G339" s="4">
        <v>901907732</v>
      </c>
      <c r="H339" s="4" t="s">
        <v>460</v>
      </c>
      <c r="I339" s="6">
        <v>78906.17</v>
      </c>
      <c r="J339" s="6">
        <v>14992.16</v>
      </c>
      <c r="K339" s="6">
        <v>0</v>
      </c>
      <c r="L339" s="6">
        <v>1485.67</v>
      </c>
      <c r="M339" s="6">
        <v>0</v>
      </c>
      <c r="N339" s="6">
        <v>95384</v>
      </c>
    </row>
    <row r="340" spans="1:15" x14ac:dyDescent="0.2">
      <c r="A340" s="4" t="s">
        <v>14</v>
      </c>
      <c r="B340" s="4" t="s">
        <v>839</v>
      </c>
      <c r="C340" s="4">
        <v>4675</v>
      </c>
      <c r="D340" s="5">
        <v>45863</v>
      </c>
      <c r="E340" s="4">
        <v>70978458</v>
      </c>
      <c r="F340" s="4" t="s">
        <v>840</v>
      </c>
      <c r="G340" s="4">
        <v>901907732</v>
      </c>
      <c r="H340" s="4" t="s">
        <v>16</v>
      </c>
      <c r="I340" s="6">
        <v>29411.759999999998</v>
      </c>
      <c r="J340" s="6">
        <v>5588.23</v>
      </c>
      <c r="K340" s="6">
        <v>0</v>
      </c>
      <c r="L340" s="6">
        <v>0</v>
      </c>
      <c r="M340" s="6">
        <v>0</v>
      </c>
      <c r="N340" s="6">
        <v>34999.99</v>
      </c>
    </row>
    <row r="341" spans="1:15" x14ac:dyDescent="0.2">
      <c r="A341" s="4" t="s">
        <v>14</v>
      </c>
      <c r="B341" s="4" t="s">
        <v>841</v>
      </c>
      <c r="C341" s="4">
        <v>50134</v>
      </c>
      <c r="D341" s="5">
        <v>45863</v>
      </c>
      <c r="E341" s="4">
        <v>901476410</v>
      </c>
      <c r="F341" s="4" t="s">
        <v>473</v>
      </c>
      <c r="G341" s="4">
        <v>901907732</v>
      </c>
      <c r="H341" s="4" t="s">
        <v>16</v>
      </c>
      <c r="I341" s="6">
        <v>219664</v>
      </c>
      <c r="J341" s="6">
        <v>41736</v>
      </c>
      <c r="K341" s="6">
        <v>0</v>
      </c>
      <c r="L341" s="6">
        <v>0</v>
      </c>
      <c r="M341" s="6">
        <v>0</v>
      </c>
      <c r="N341" s="6">
        <v>261400</v>
      </c>
      <c r="O341" s="16">
        <f>+I341*2.5%</f>
        <v>5491.6</v>
      </c>
    </row>
    <row r="342" spans="1:15" x14ac:dyDescent="0.2">
      <c r="A342" s="4" t="s">
        <v>14</v>
      </c>
      <c r="B342" s="4" t="s">
        <v>842</v>
      </c>
      <c r="C342" s="4">
        <v>193489</v>
      </c>
      <c r="D342" s="5">
        <v>45863</v>
      </c>
      <c r="E342" s="4">
        <v>890941794</v>
      </c>
      <c r="F342" s="4" t="s">
        <v>515</v>
      </c>
      <c r="G342" s="4">
        <v>901907732</v>
      </c>
      <c r="H342" s="4" t="s">
        <v>16</v>
      </c>
      <c r="I342" s="6">
        <v>121430.00000000001</v>
      </c>
      <c r="J342" s="6">
        <v>23071.7</v>
      </c>
      <c r="K342" s="6">
        <v>0</v>
      </c>
      <c r="L342" s="6">
        <v>0</v>
      </c>
      <c r="M342" s="6">
        <v>0</v>
      </c>
      <c r="N342" s="6">
        <v>144501.70000000001</v>
      </c>
    </row>
    <row r="343" spans="1:15" x14ac:dyDescent="0.2">
      <c r="A343" s="4" t="s">
        <v>14</v>
      </c>
      <c r="B343" s="4" t="s">
        <v>843</v>
      </c>
      <c r="C343" s="4">
        <v>12449</v>
      </c>
      <c r="D343" s="5">
        <v>45863</v>
      </c>
      <c r="E343" s="4">
        <v>700108357</v>
      </c>
      <c r="F343" s="4" t="s">
        <v>470</v>
      </c>
      <c r="G343" s="4">
        <v>901907732</v>
      </c>
      <c r="H343" s="4" t="s">
        <v>471</v>
      </c>
      <c r="I343" s="6">
        <v>272000</v>
      </c>
      <c r="J343" s="6">
        <v>0</v>
      </c>
      <c r="K343" s="6">
        <v>0</v>
      </c>
      <c r="L343" s="6">
        <v>0</v>
      </c>
      <c r="M343" s="6">
        <v>0</v>
      </c>
      <c r="N343" s="6">
        <v>272000</v>
      </c>
      <c r="O343" s="16">
        <f>+I343*3.5%</f>
        <v>9520</v>
      </c>
    </row>
    <row r="344" spans="1:15" x14ac:dyDescent="0.2">
      <c r="A344" s="4" t="s">
        <v>14</v>
      </c>
      <c r="B344" s="4" t="s">
        <v>844</v>
      </c>
      <c r="C344" s="4">
        <v>1252</v>
      </c>
      <c r="D344" s="5">
        <v>45863</v>
      </c>
      <c r="E344" s="4">
        <v>93397337</v>
      </c>
      <c r="F344" s="4" t="s">
        <v>525</v>
      </c>
      <c r="G344" s="4">
        <v>901907732</v>
      </c>
      <c r="H344" s="4" t="s">
        <v>16</v>
      </c>
      <c r="I344" s="6">
        <v>200000</v>
      </c>
      <c r="J344" s="6">
        <v>0</v>
      </c>
      <c r="K344" s="6">
        <v>0</v>
      </c>
      <c r="L344" s="6">
        <v>0</v>
      </c>
      <c r="M344" s="6">
        <v>0</v>
      </c>
      <c r="N344" s="6">
        <v>200000</v>
      </c>
    </row>
    <row r="345" spans="1:15" x14ac:dyDescent="0.2">
      <c r="A345" s="4" t="s">
        <v>14</v>
      </c>
      <c r="B345" s="4" t="s">
        <v>845</v>
      </c>
      <c r="C345" s="4">
        <v>139784028</v>
      </c>
      <c r="D345" s="5">
        <v>45862</v>
      </c>
      <c r="E345" s="4">
        <v>830114921</v>
      </c>
      <c r="F345" s="4" t="s">
        <v>459</v>
      </c>
      <c r="G345" s="4">
        <v>901907732</v>
      </c>
      <c r="H345" s="4" t="s">
        <v>464</v>
      </c>
      <c r="I345" s="6">
        <v>74825.599999999991</v>
      </c>
      <c r="J345" s="6">
        <v>14216.8</v>
      </c>
      <c r="K345" s="6">
        <v>0</v>
      </c>
      <c r="L345" s="6">
        <v>1320.6</v>
      </c>
      <c r="M345" s="6">
        <v>0</v>
      </c>
      <c r="N345" s="6">
        <v>90363</v>
      </c>
    </row>
    <row r="346" spans="1:15" x14ac:dyDescent="0.2">
      <c r="A346" s="4" t="s">
        <v>14</v>
      </c>
      <c r="B346" s="4" t="s">
        <v>846</v>
      </c>
      <c r="C346" s="4">
        <v>52167</v>
      </c>
      <c r="D346" s="5">
        <v>45860</v>
      </c>
      <c r="E346" s="4">
        <v>901273723</v>
      </c>
      <c r="F346" s="4" t="s">
        <v>847</v>
      </c>
      <c r="G346" s="4">
        <v>901907732</v>
      </c>
      <c r="H346" s="4" t="s">
        <v>16</v>
      </c>
      <c r="I346" s="6">
        <v>100840.34</v>
      </c>
      <c r="J346" s="6">
        <v>19159.66</v>
      </c>
      <c r="K346" s="6">
        <v>0</v>
      </c>
      <c r="L346" s="6">
        <v>0</v>
      </c>
      <c r="M346" s="6">
        <v>0</v>
      </c>
      <c r="N346" s="6">
        <v>120000</v>
      </c>
    </row>
    <row r="347" spans="1:15" x14ac:dyDescent="0.2">
      <c r="A347" s="4" t="s">
        <v>14</v>
      </c>
      <c r="B347" s="4" t="s">
        <v>848</v>
      </c>
      <c r="C347" s="4">
        <v>78841</v>
      </c>
      <c r="D347" s="5">
        <v>45859</v>
      </c>
      <c r="E347" s="4">
        <v>900848266</v>
      </c>
      <c r="F347" s="4" t="s">
        <v>435</v>
      </c>
      <c r="G347" s="4">
        <v>901907732</v>
      </c>
      <c r="H347" s="4" t="s">
        <v>16</v>
      </c>
      <c r="I347" s="6">
        <v>4500</v>
      </c>
      <c r="J347" s="6">
        <v>855</v>
      </c>
      <c r="K347" s="6">
        <v>0</v>
      </c>
      <c r="L347" s="6">
        <v>0</v>
      </c>
      <c r="M347" s="6">
        <v>0</v>
      </c>
      <c r="N347" s="6">
        <v>5355</v>
      </c>
    </row>
    <row r="348" spans="1:15" x14ac:dyDescent="0.2">
      <c r="A348" s="4" t="s">
        <v>14</v>
      </c>
      <c r="B348" s="4" t="s">
        <v>849</v>
      </c>
      <c r="C348" s="4">
        <v>553594</v>
      </c>
      <c r="D348" s="5">
        <v>45859</v>
      </c>
      <c r="E348" s="4">
        <v>800091549</v>
      </c>
      <c r="F348" s="4" t="s">
        <v>408</v>
      </c>
      <c r="G348" s="4">
        <v>901907732</v>
      </c>
      <c r="H348" s="4" t="s">
        <v>427</v>
      </c>
      <c r="I348" s="6">
        <v>3024400</v>
      </c>
      <c r="J348" s="6">
        <v>0</v>
      </c>
      <c r="K348" s="6">
        <v>0</v>
      </c>
      <c r="L348" s="6">
        <v>0</v>
      </c>
      <c r="M348" s="6">
        <v>0</v>
      </c>
      <c r="N348" s="6">
        <v>3024400</v>
      </c>
    </row>
    <row r="349" spans="1:15" x14ac:dyDescent="0.2">
      <c r="A349" s="4" t="s">
        <v>14</v>
      </c>
      <c r="B349" s="4" t="s">
        <v>850</v>
      </c>
      <c r="C349" s="4">
        <v>111375</v>
      </c>
      <c r="D349" s="5">
        <v>45859</v>
      </c>
      <c r="E349" s="4">
        <v>811000784</v>
      </c>
      <c r="F349" s="4" t="s">
        <v>456</v>
      </c>
      <c r="G349" s="4">
        <v>901907732</v>
      </c>
      <c r="H349" s="4" t="s">
        <v>457</v>
      </c>
      <c r="I349" s="6">
        <v>110084.03</v>
      </c>
      <c r="J349" s="6">
        <v>20915.97</v>
      </c>
      <c r="K349" s="6">
        <v>0</v>
      </c>
      <c r="L349" s="6">
        <v>0</v>
      </c>
      <c r="M349" s="6">
        <v>0</v>
      </c>
      <c r="N349" s="6">
        <v>131000</v>
      </c>
    </row>
    <row r="350" spans="1:15" x14ac:dyDescent="0.2">
      <c r="A350" s="4" t="s">
        <v>14</v>
      </c>
      <c r="B350" s="4" t="s">
        <v>851</v>
      </c>
      <c r="C350" s="4">
        <v>12418</v>
      </c>
      <c r="D350" s="5">
        <v>45856</v>
      </c>
      <c r="E350" s="4">
        <v>700108357</v>
      </c>
      <c r="F350" s="4" t="s">
        <v>470</v>
      </c>
      <c r="G350" s="4">
        <v>901907732</v>
      </c>
      <c r="H350" s="4" t="s">
        <v>471</v>
      </c>
      <c r="I350" s="6">
        <v>62000</v>
      </c>
      <c r="J350" s="6">
        <v>0</v>
      </c>
      <c r="K350" s="6">
        <v>0</v>
      </c>
      <c r="L350" s="6">
        <v>0</v>
      </c>
      <c r="M350" s="6">
        <v>0</v>
      </c>
      <c r="N350" s="6">
        <v>62000</v>
      </c>
    </row>
    <row r="351" spans="1:15" x14ac:dyDescent="0.2">
      <c r="A351" s="4" t="s">
        <v>14</v>
      </c>
      <c r="B351" s="4" t="s">
        <v>852</v>
      </c>
      <c r="C351" s="4">
        <v>1250</v>
      </c>
      <c r="D351" s="5">
        <v>45856</v>
      </c>
      <c r="E351" s="4">
        <v>93397337</v>
      </c>
      <c r="F351" s="4" t="s">
        <v>525</v>
      </c>
      <c r="G351" s="4">
        <v>901907732</v>
      </c>
      <c r="H351" s="4" t="s">
        <v>16</v>
      </c>
      <c r="I351" s="6">
        <v>100000</v>
      </c>
      <c r="J351" s="6">
        <v>0</v>
      </c>
      <c r="K351" s="6">
        <v>0</v>
      </c>
      <c r="L351" s="6">
        <v>0</v>
      </c>
      <c r="M351" s="6">
        <v>0</v>
      </c>
      <c r="N351" s="6">
        <v>100000</v>
      </c>
    </row>
    <row r="352" spans="1:15" x14ac:dyDescent="0.2">
      <c r="A352" s="4" t="s">
        <v>14</v>
      </c>
      <c r="B352" s="4" t="s">
        <v>853</v>
      </c>
      <c r="C352" s="4">
        <v>12413</v>
      </c>
      <c r="D352" s="5">
        <v>45855</v>
      </c>
      <c r="E352" s="4">
        <v>700108357</v>
      </c>
      <c r="F352" s="4" t="s">
        <v>470</v>
      </c>
      <c r="G352" s="4">
        <v>901907732</v>
      </c>
      <c r="H352" s="4" t="s">
        <v>471</v>
      </c>
      <c r="I352" s="6">
        <v>81000</v>
      </c>
      <c r="J352" s="6">
        <v>0</v>
      </c>
      <c r="K352" s="6">
        <v>0</v>
      </c>
      <c r="L352" s="6">
        <v>0</v>
      </c>
      <c r="M352" s="6">
        <v>0</v>
      </c>
      <c r="N352" s="6">
        <v>81000</v>
      </c>
    </row>
    <row r="353" spans="1:15" x14ac:dyDescent="0.2">
      <c r="A353" s="4" t="s">
        <v>14</v>
      </c>
      <c r="B353" s="4" t="s">
        <v>854</v>
      </c>
      <c r="C353" s="4">
        <v>12407</v>
      </c>
      <c r="D353" s="5">
        <v>45854</v>
      </c>
      <c r="E353" s="4">
        <v>700108357</v>
      </c>
      <c r="F353" s="4" t="s">
        <v>470</v>
      </c>
      <c r="G353" s="4">
        <v>901907732</v>
      </c>
      <c r="H353" s="4" t="s">
        <v>471</v>
      </c>
      <c r="I353" s="6">
        <v>90000</v>
      </c>
      <c r="J353" s="6">
        <v>0</v>
      </c>
      <c r="K353" s="6">
        <v>0</v>
      </c>
      <c r="L353" s="6">
        <v>0</v>
      </c>
      <c r="M353" s="6">
        <v>0</v>
      </c>
      <c r="N353" s="6">
        <v>90000</v>
      </c>
    </row>
    <row r="354" spans="1:15" x14ac:dyDescent="0.2">
      <c r="A354" s="4" t="s">
        <v>14</v>
      </c>
      <c r="B354" s="4" t="s">
        <v>855</v>
      </c>
      <c r="C354" s="4">
        <v>21909</v>
      </c>
      <c r="D354" s="5">
        <v>45853</v>
      </c>
      <c r="E354" s="4">
        <v>901439094</v>
      </c>
      <c r="F354" s="4" t="s">
        <v>856</v>
      </c>
      <c r="G354" s="4">
        <v>901907732</v>
      </c>
      <c r="H354" s="4" t="s">
        <v>16</v>
      </c>
      <c r="I354" s="6">
        <v>29411.764709999999</v>
      </c>
      <c r="J354" s="6">
        <v>5588.2352899999996</v>
      </c>
      <c r="K354" s="6">
        <v>0</v>
      </c>
      <c r="L354" s="6">
        <v>0</v>
      </c>
      <c r="M354" s="6">
        <v>0</v>
      </c>
      <c r="N354" s="6">
        <v>35000</v>
      </c>
    </row>
    <row r="355" spans="1:15" x14ac:dyDescent="0.2">
      <c r="A355" s="4" t="s">
        <v>14</v>
      </c>
      <c r="B355" s="4" t="s">
        <v>857</v>
      </c>
      <c r="C355" s="4">
        <v>12403</v>
      </c>
      <c r="D355" s="5">
        <v>45853</v>
      </c>
      <c r="E355" s="4">
        <v>700108357</v>
      </c>
      <c r="F355" s="4" t="s">
        <v>470</v>
      </c>
      <c r="G355" s="4">
        <v>901907732</v>
      </c>
      <c r="H355" s="4" t="s">
        <v>471</v>
      </c>
      <c r="I355" s="6">
        <v>83000</v>
      </c>
      <c r="J355" s="6">
        <v>0</v>
      </c>
      <c r="K355" s="6">
        <v>0</v>
      </c>
      <c r="L355" s="6">
        <v>0</v>
      </c>
      <c r="M355" s="6">
        <v>0</v>
      </c>
      <c r="N355" s="6">
        <v>83000</v>
      </c>
    </row>
    <row r="356" spans="1:15" x14ac:dyDescent="0.2">
      <c r="A356" s="4" t="s">
        <v>14</v>
      </c>
      <c r="B356" s="4" t="s">
        <v>858</v>
      </c>
      <c r="C356" s="4">
        <v>552003</v>
      </c>
      <c r="D356" s="5">
        <v>45852</v>
      </c>
      <c r="E356" s="4">
        <v>800091549</v>
      </c>
      <c r="F356" s="4" t="s">
        <v>408</v>
      </c>
      <c r="G356" s="4">
        <v>901907732</v>
      </c>
      <c r="H356" s="4" t="s">
        <v>427</v>
      </c>
      <c r="I356" s="6">
        <v>1357823</v>
      </c>
      <c r="J356" s="6">
        <v>0</v>
      </c>
      <c r="K356" s="6">
        <v>0</v>
      </c>
      <c r="L356" s="6">
        <v>0</v>
      </c>
      <c r="M356" s="6">
        <v>0</v>
      </c>
      <c r="N356" s="6">
        <v>1357823</v>
      </c>
    </row>
    <row r="357" spans="1:15" x14ac:dyDescent="0.2">
      <c r="A357" s="4" t="s">
        <v>14</v>
      </c>
      <c r="B357" s="4" t="s">
        <v>859</v>
      </c>
      <c r="C357" s="4">
        <v>12397</v>
      </c>
      <c r="D357" s="5">
        <v>45852</v>
      </c>
      <c r="E357" s="4">
        <v>700108357</v>
      </c>
      <c r="F357" s="4" t="s">
        <v>470</v>
      </c>
      <c r="G357" s="4">
        <v>901907732</v>
      </c>
      <c r="H357" s="4" t="s">
        <v>471</v>
      </c>
      <c r="I357" s="6">
        <v>88500</v>
      </c>
      <c r="J357" s="6">
        <v>0</v>
      </c>
      <c r="K357" s="6">
        <v>0</v>
      </c>
      <c r="L357" s="6">
        <v>0</v>
      </c>
      <c r="M357" s="6">
        <v>0</v>
      </c>
      <c r="N357" s="6">
        <v>88500</v>
      </c>
    </row>
    <row r="358" spans="1:15" x14ac:dyDescent="0.2">
      <c r="A358" s="4" t="s">
        <v>14</v>
      </c>
      <c r="B358" s="4" t="s">
        <v>860</v>
      </c>
      <c r="C358" s="4">
        <v>12393</v>
      </c>
      <c r="D358" s="5">
        <v>45852</v>
      </c>
      <c r="E358" s="4">
        <v>700108357</v>
      </c>
      <c r="F358" s="4" t="s">
        <v>470</v>
      </c>
      <c r="G358" s="4">
        <v>901907732</v>
      </c>
      <c r="H358" s="4" t="s">
        <v>471</v>
      </c>
      <c r="I358" s="6">
        <v>25000</v>
      </c>
      <c r="J358" s="6">
        <v>0</v>
      </c>
      <c r="K358" s="6">
        <v>0</v>
      </c>
      <c r="L358" s="6">
        <v>0</v>
      </c>
      <c r="M358" s="6">
        <v>0</v>
      </c>
      <c r="N358" s="6">
        <v>25000</v>
      </c>
    </row>
    <row r="359" spans="1:15" x14ac:dyDescent="0.2">
      <c r="A359" s="4" t="s">
        <v>14</v>
      </c>
      <c r="B359" s="4" t="s">
        <v>861</v>
      </c>
      <c r="C359" s="4">
        <v>12386</v>
      </c>
      <c r="D359" s="5">
        <v>45850</v>
      </c>
      <c r="E359" s="4">
        <v>700108357</v>
      </c>
      <c r="F359" s="4" t="s">
        <v>470</v>
      </c>
      <c r="G359" s="4">
        <v>901907732</v>
      </c>
      <c r="H359" s="4" t="s">
        <v>471</v>
      </c>
      <c r="I359" s="6">
        <v>85000</v>
      </c>
      <c r="J359" s="6">
        <v>0</v>
      </c>
      <c r="K359" s="6">
        <v>0</v>
      </c>
      <c r="L359" s="6">
        <v>0</v>
      </c>
      <c r="M359" s="6">
        <v>0</v>
      </c>
      <c r="N359" s="6">
        <v>85000</v>
      </c>
    </row>
    <row r="360" spans="1:15" x14ac:dyDescent="0.2">
      <c r="A360" s="4" t="s">
        <v>14</v>
      </c>
      <c r="B360" s="4" t="s">
        <v>862</v>
      </c>
      <c r="C360" s="4">
        <v>138211769</v>
      </c>
      <c r="D360" s="5">
        <v>45850</v>
      </c>
      <c r="E360" s="4">
        <v>830114921</v>
      </c>
      <c r="F360" s="4" t="s">
        <v>459</v>
      </c>
      <c r="G360" s="4">
        <v>901907732</v>
      </c>
      <c r="H360" s="4" t="s">
        <v>460</v>
      </c>
      <c r="I360" s="6">
        <v>26243.519999999997</v>
      </c>
      <c r="J360" s="6">
        <v>4986.26</v>
      </c>
      <c r="K360" s="6">
        <v>0</v>
      </c>
      <c r="L360" s="6">
        <v>495.22</v>
      </c>
      <c r="M360" s="6">
        <v>0</v>
      </c>
      <c r="N360" s="6">
        <v>31725</v>
      </c>
    </row>
    <row r="361" spans="1:15" x14ac:dyDescent="0.2">
      <c r="A361" s="4" t="s">
        <v>14</v>
      </c>
      <c r="B361" s="4" t="s">
        <v>863</v>
      </c>
      <c r="C361" s="4">
        <v>551614</v>
      </c>
      <c r="D361" s="5">
        <v>45849</v>
      </c>
      <c r="E361" s="4">
        <v>800091549</v>
      </c>
      <c r="F361" s="4" t="s">
        <v>408</v>
      </c>
      <c r="G361" s="4">
        <v>901907732</v>
      </c>
      <c r="H361" s="4" t="s">
        <v>427</v>
      </c>
      <c r="I361" s="6">
        <v>480791</v>
      </c>
      <c r="J361" s="6">
        <v>0</v>
      </c>
      <c r="K361" s="6">
        <v>0</v>
      </c>
      <c r="L361" s="6">
        <v>0</v>
      </c>
      <c r="M361" s="6">
        <v>0</v>
      </c>
      <c r="N361" s="6">
        <v>480791</v>
      </c>
    </row>
    <row r="362" spans="1:15" x14ac:dyDescent="0.2">
      <c r="A362" s="4" t="s">
        <v>14</v>
      </c>
      <c r="B362" s="4" t="s">
        <v>864</v>
      </c>
      <c r="C362" s="4">
        <v>12382</v>
      </c>
      <c r="D362" s="5">
        <v>45849</v>
      </c>
      <c r="E362" s="4">
        <v>700108357</v>
      </c>
      <c r="F362" s="4" t="s">
        <v>470</v>
      </c>
      <c r="G362" s="4">
        <v>901907732</v>
      </c>
      <c r="H362" s="4" t="s">
        <v>471</v>
      </c>
      <c r="I362" s="6">
        <v>102000</v>
      </c>
      <c r="J362" s="6">
        <v>0</v>
      </c>
      <c r="K362" s="6">
        <v>0</v>
      </c>
      <c r="L362" s="6">
        <v>0</v>
      </c>
      <c r="M362" s="6">
        <v>0</v>
      </c>
      <c r="N362" s="6">
        <v>102000</v>
      </c>
      <c r="O362" s="16">
        <f>+I362*3.5%</f>
        <v>3570.0000000000005</v>
      </c>
    </row>
    <row r="363" spans="1:15" x14ac:dyDescent="0.2">
      <c r="A363" s="4" t="s">
        <v>14</v>
      </c>
      <c r="B363" s="4" t="s">
        <v>865</v>
      </c>
      <c r="C363" s="4">
        <v>551377</v>
      </c>
      <c r="D363" s="5">
        <v>45849</v>
      </c>
      <c r="E363" s="4">
        <v>800091549</v>
      </c>
      <c r="F363" s="4" t="s">
        <v>408</v>
      </c>
      <c r="G363" s="4">
        <v>901907732</v>
      </c>
      <c r="H363" s="4" t="s">
        <v>427</v>
      </c>
      <c r="I363" s="6">
        <v>325210</v>
      </c>
      <c r="J363" s="6">
        <v>0</v>
      </c>
      <c r="K363" s="6">
        <v>0</v>
      </c>
      <c r="L363" s="6">
        <v>0</v>
      </c>
      <c r="M363" s="6">
        <v>0</v>
      </c>
      <c r="N363" s="6">
        <v>325210</v>
      </c>
    </row>
    <row r="364" spans="1:15" x14ac:dyDescent="0.2">
      <c r="A364" s="4" t="s">
        <v>14</v>
      </c>
      <c r="B364" s="4" t="s">
        <v>866</v>
      </c>
      <c r="C364" s="4">
        <v>551375</v>
      </c>
      <c r="D364" s="5">
        <v>45849</v>
      </c>
      <c r="E364" s="4">
        <v>800091549</v>
      </c>
      <c r="F364" s="4" t="s">
        <v>408</v>
      </c>
      <c r="G364" s="4">
        <v>901907732</v>
      </c>
      <c r="H364" s="4" t="s">
        <v>427</v>
      </c>
      <c r="I364" s="6">
        <v>1188994</v>
      </c>
      <c r="J364" s="6">
        <v>0</v>
      </c>
      <c r="K364" s="6">
        <v>0</v>
      </c>
      <c r="L364" s="6">
        <v>0</v>
      </c>
      <c r="M364" s="6">
        <v>0</v>
      </c>
      <c r="N364" s="6">
        <v>1188994</v>
      </c>
    </row>
    <row r="365" spans="1:15" x14ac:dyDescent="0.2">
      <c r="A365" s="4" t="s">
        <v>14</v>
      </c>
      <c r="B365" s="4" t="s">
        <v>867</v>
      </c>
      <c r="C365" s="4">
        <v>551371</v>
      </c>
      <c r="D365" s="5">
        <v>45849</v>
      </c>
      <c r="E365" s="4">
        <v>800091549</v>
      </c>
      <c r="F365" s="4" t="s">
        <v>408</v>
      </c>
      <c r="G365" s="4">
        <v>901907732</v>
      </c>
      <c r="H365" s="4" t="s">
        <v>427</v>
      </c>
      <c r="I365" s="6">
        <v>141653</v>
      </c>
      <c r="J365" s="6">
        <v>0</v>
      </c>
      <c r="K365" s="6">
        <v>0</v>
      </c>
      <c r="L365" s="6">
        <v>0</v>
      </c>
      <c r="M365" s="6">
        <v>0</v>
      </c>
      <c r="N365" s="6">
        <v>141653</v>
      </c>
    </row>
    <row r="366" spans="1:15" x14ac:dyDescent="0.2">
      <c r="A366" s="4" t="s">
        <v>14</v>
      </c>
      <c r="B366" s="4" t="s">
        <v>868</v>
      </c>
      <c r="C366" s="4">
        <v>551335</v>
      </c>
      <c r="D366" s="5">
        <v>45849</v>
      </c>
      <c r="E366" s="4">
        <v>800091549</v>
      </c>
      <c r="F366" s="4" t="s">
        <v>408</v>
      </c>
      <c r="G366" s="4">
        <v>901907732</v>
      </c>
      <c r="H366" s="4" t="s">
        <v>427</v>
      </c>
      <c r="I366" s="6">
        <v>852765</v>
      </c>
      <c r="J366" s="6">
        <v>0</v>
      </c>
      <c r="K366" s="6">
        <v>0</v>
      </c>
      <c r="L366" s="6">
        <v>0</v>
      </c>
      <c r="M366" s="6">
        <v>0</v>
      </c>
      <c r="N366" s="6">
        <v>852765</v>
      </c>
    </row>
    <row r="367" spans="1:15" x14ac:dyDescent="0.2">
      <c r="A367" s="4" t="s">
        <v>14</v>
      </c>
      <c r="B367" s="4" t="s">
        <v>869</v>
      </c>
      <c r="C367" s="4">
        <v>1248</v>
      </c>
      <c r="D367" s="5">
        <v>45849</v>
      </c>
      <c r="E367" s="4">
        <v>93397337</v>
      </c>
      <c r="F367" s="4" t="s">
        <v>525</v>
      </c>
      <c r="G367" s="4">
        <v>901907732</v>
      </c>
      <c r="H367" s="4" t="s">
        <v>16</v>
      </c>
      <c r="I367" s="6">
        <v>100000</v>
      </c>
      <c r="J367" s="6">
        <v>0</v>
      </c>
      <c r="K367" s="6">
        <v>0</v>
      </c>
      <c r="L367" s="6">
        <v>0</v>
      </c>
      <c r="M367" s="6">
        <v>0</v>
      </c>
      <c r="N367" s="6">
        <v>100000</v>
      </c>
    </row>
    <row r="368" spans="1:15" x14ac:dyDescent="0.2">
      <c r="A368" s="4" t="s">
        <v>14</v>
      </c>
      <c r="B368" s="4" t="s">
        <v>870</v>
      </c>
      <c r="C368" s="4">
        <v>12372</v>
      </c>
      <c r="D368" s="5">
        <v>45848</v>
      </c>
      <c r="E368" s="4">
        <v>700108357</v>
      </c>
      <c r="F368" s="4" t="s">
        <v>470</v>
      </c>
      <c r="G368" s="4">
        <v>901907732</v>
      </c>
      <c r="H368" s="4" t="s">
        <v>471</v>
      </c>
      <c r="I368" s="6">
        <v>92000</v>
      </c>
      <c r="J368" s="6">
        <v>0</v>
      </c>
      <c r="K368" s="6">
        <v>0</v>
      </c>
      <c r="L368" s="6">
        <v>0</v>
      </c>
      <c r="M368" s="6">
        <v>0</v>
      </c>
      <c r="N368" s="6">
        <v>92000</v>
      </c>
    </row>
    <row r="369" spans="1:15" x14ac:dyDescent="0.2">
      <c r="A369" s="4" t="s">
        <v>14</v>
      </c>
      <c r="B369" s="4" t="s">
        <v>871</v>
      </c>
      <c r="C369" s="4">
        <v>550900</v>
      </c>
      <c r="D369" s="5">
        <v>45848</v>
      </c>
      <c r="E369" s="4">
        <v>800091549</v>
      </c>
      <c r="F369" s="4" t="s">
        <v>408</v>
      </c>
      <c r="G369" s="4">
        <v>901907732</v>
      </c>
      <c r="H369" s="4" t="s">
        <v>427</v>
      </c>
      <c r="I369" s="6">
        <v>901183</v>
      </c>
      <c r="J369" s="6">
        <v>0</v>
      </c>
      <c r="K369" s="6">
        <v>0</v>
      </c>
      <c r="L369" s="6">
        <v>0</v>
      </c>
      <c r="M369" s="6">
        <v>0</v>
      </c>
      <c r="N369" s="6">
        <v>901183</v>
      </c>
    </row>
    <row r="370" spans="1:15" x14ac:dyDescent="0.2">
      <c r="A370" s="4" t="s">
        <v>14</v>
      </c>
      <c r="B370" s="4" t="s">
        <v>872</v>
      </c>
      <c r="C370" s="4">
        <v>550897</v>
      </c>
      <c r="D370" s="5">
        <v>45848</v>
      </c>
      <c r="E370" s="4">
        <v>800091549</v>
      </c>
      <c r="F370" s="4" t="s">
        <v>408</v>
      </c>
      <c r="G370" s="4">
        <v>901907732</v>
      </c>
      <c r="H370" s="4" t="s">
        <v>427</v>
      </c>
      <c r="I370" s="6">
        <v>444628</v>
      </c>
      <c r="J370" s="6">
        <v>0</v>
      </c>
      <c r="K370" s="6">
        <v>0</v>
      </c>
      <c r="L370" s="6">
        <v>0</v>
      </c>
      <c r="M370" s="6">
        <v>0</v>
      </c>
      <c r="N370" s="6">
        <v>444628</v>
      </c>
    </row>
    <row r="371" spans="1:15" x14ac:dyDescent="0.2">
      <c r="A371" s="4" t="s">
        <v>14</v>
      </c>
      <c r="B371" s="4" t="s">
        <v>873</v>
      </c>
      <c r="C371" s="4">
        <v>550895</v>
      </c>
      <c r="D371" s="5">
        <v>45848</v>
      </c>
      <c r="E371" s="4">
        <v>800091549</v>
      </c>
      <c r="F371" s="4" t="s">
        <v>408</v>
      </c>
      <c r="G371" s="4">
        <v>901907732</v>
      </c>
      <c r="H371" s="4" t="s">
        <v>427</v>
      </c>
      <c r="I371" s="6">
        <v>574519</v>
      </c>
      <c r="J371" s="6">
        <v>0</v>
      </c>
      <c r="K371" s="6">
        <v>0</v>
      </c>
      <c r="L371" s="6">
        <v>0</v>
      </c>
      <c r="M371" s="6">
        <v>0</v>
      </c>
      <c r="N371" s="6">
        <v>574519</v>
      </c>
    </row>
    <row r="372" spans="1:15" x14ac:dyDescent="0.2">
      <c r="A372" s="4" t="s">
        <v>14</v>
      </c>
      <c r="B372" s="4" t="s">
        <v>874</v>
      </c>
      <c r="C372" s="4">
        <v>550893</v>
      </c>
      <c r="D372" s="5">
        <v>45848</v>
      </c>
      <c r="E372" s="4">
        <v>800091549</v>
      </c>
      <c r="F372" s="4" t="s">
        <v>408</v>
      </c>
      <c r="G372" s="4">
        <v>901907732</v>
      </c>
      <c r="H372" s="4" t="s">
        <v>427</v>
      </c>
      <c r="I372" s="6">
        <v>240240</v>
      </c>
      <c r="J372" s="6">
        <v>0</v>
      </c>
      <c r="K372" s="6">
        <v>0</v>
      </c>
      <c r="L372" s="6">
        <v>0</v>
      </c>
      <c r="M372" s="6">
        <v>0</v>
      </c>
      <c r="N372" s="6">
        <v>240240</v>
      </c>
    </row>
    <row r="373" spans="1:15" x14ac:dyDescent="0.2">
      <c r="A373" s="4" t="s">
        <v>14</v>
      </c>
      <c r="B373" s="4" t="s">
        <v>875</v>
      </c>
      <c r="C373" s="4">
        <v>550892</v>
      </c>
      <c r="D373" s="5">
        <v>45848</v>
      </c>
      <c r="E373" s="4">
        <v>800091549</v>
      </c>
      <c r="F373" s="4" t="s">
        <v>408</v>
      </c>
      <c r="G373" s="4">
        <v>901907732</v>
      </c>
      <c r="H373" s="4" t="s">
        <v>427</v>
      </c>
      <c r="I373" s="6">
        <v>348477</v>
      </c>
      <c r="J373" s="6">
        <v>0</v>
      </c>
      <c r="K373" s="6">
        <v>0</v>
      </c>
      <c r="L373" s="6">
        <v>0</v>
      </c>
      <c r="M373" s="6">
        <v>0</v>
      </c>
      <c r="N373" s="6">
        <v>348477</v>
      </c>
    </row>
    <row r="374" spans="1:15" x14ac:dyDescent="0.2">
      <c r="A374" s="4" t="s">
        <v>14</v>
      </c>
      <c r="B374" s="4" t="s">
        <v>876</v>
      </c>
      <c r="C374" s="4">
        <v>550891</v>
      </c>
      <c r="D374" s="5">
        <v>45848</v>
      </c>
      <c r="E374" s="4">
        <v>800091549</v>
      </c>
      <c r="F374" s="4" t="s">
        <v>408</v>
      </c>
      <c r="G374" s="4">
        <v>901907732</v>
      </c>
      <c r="H374" s="4" t="s">
        <v>427</v>
      </c>
      <c r="I374" s="6">
        <v>2548574</v>
      </c>
      <c r="J374" s="6">
        <v>0</v>
      </c>
      <c r="K374" s="6">
        <v>0</v>
      </c>
      <c r="L374" s="6">
        <v>0</v>
      </c>
      <c r="M374" s="6">
        <v>0</v>
      </c>
      <c r="N374" s="6">
        <v>2548574</v>
      </c>
    </row>
    <row r="375" spans="1:15" x14ac:dyDescent="0.2">
      <c r="A375" s="4" t="s">
        <v>14</v>
      </c>
      <c r="B375" s="4" t="s">
        <v>877</v>
      </c>
      <c r="C375" s="4">
        <v>550890</v>
      </c>
      <c r="D375" s="5">
        <v>45848</v>
      </c>
      <c r="E375" s="4">
        <v>800091549</v>
      </c>
      <c r="F375" s="4" t="s">
        <v>408</v>
      </c>
      <c r="G375" s="4">
        <v>901907732</v>
      </c>
      <c r="H375" s="4" t="s">
        <v>427</v>
      </c>
      <c r="I375" s="6">
        <v>753322</v>
      </c>
      <c r="J375" s="6">
        <v>0</v>
      </c>
      <c r="K375" s="6">
        <v>0</v>
      </c>
      <c r="L375" s="6">
        <v>0</v>
      </c>
      <c r="M375" s="6">
        <v>0</v>
      </c>
      <c r="N375" s="6">
        <v>753322</v>
      </c>
    </row>
    <row r="376" spans="1:15" x14ac:dyDescent="0.2">
      <c r="A376" s="4" t="s">
        <v>14</v>
      </c>
      <c r="B376" s="4" t="s">
        <v>878</v>
      </c>
      <c r="C376" s="4">
        <v>550889</v>
      </c>
      <c r="D376" s="5">
        <v>45848</v>
      </c>
      <c r="E376" s="4">
        <v>800091549</v>
      </c>
      <c r="F376" s="4" t="s">
        <v>408</v>
      </c>
      <c r="G376" s="4">
        <v>901907732</v>
      </c>
      <c r="H376" s="4" t="s">
        <v>427</v>
      </c>
      <c r="I376" s="6">
        <v>133216</v>
      </c>
      <c r="J376" s="6">
        <v>0</v>
      </c>
      <c r="K376" s="6">
        <v>0</v>
      </c>
      <c r="L376" s="6">
        <v>0</v>
      </c>
      <c r="M376" s="6">
        <v>0</v>
      </c>
      <c r="N376" s="6">
        <v>133216</v>
      </c>
    </row>
    <row r="377" spans="1:15" x14ac:dyDescent="0.2">
      <c r="A377" s="4" t="s">
        <v>14</v>
      </c>
      <c r="B377" s="4" t="s">
        <v>879</v>
      </c>
      <c r="C377" s="4">
        <v>550888</v>
      </c>
      <c r="D377" s="5">
        <v>45848</v>
      </c>
      <c r="E377" s="4">
        <v>800091549</v>
      </c>
      <c r="F377" s="4" t="s">
        <v>408</v>
      </c>
      <c r="G377" s="4">
        <v>901907732</v>
      </c>
      <c r="H377" s="4" t="s">
        <v>427</v>
      </c>
      <c r="I377" s="6">
        <v>845817</v>
      </c>
      <c r="J377" s="6">
        <v>0</v>
      </c>
      <c r="K377" s="6">
        <v>0</v>
      </c>
      <c r="L377" s="6">
        <v>0</v>
      </c>
      <c r="M377" s="6">
        <v>0</v>
      </c>
      <c r="N377" s="6">
        <v>845817</v>
      </c>
    </row>
    <row r="378" spans="1:15" x14ac:dyDescent="0.2">
      <c r="A378" s="4" t="s">
        <v>14</v>
      </c>
      <c r="B378" s="4" t="s">
        <v>880</v>
      </c>
      <c r="C378" s="4">
        <v>12365</v>
      </c>
      <c r="D378" s="5">
        <v>45847</v>
      </c>
      <c r="E378" s="4">
        <v>700108357</v>
      </c>
      <c r="F378" s="4" t="s">
        <v>470</v>
      </c>
      <c r="G378" s="4">
        <v>901907732</v>
      </c>
      <c r="H378" s="4" t="s">
        <v>471</v>
      </c>
      <c r="I378" s="6">
        <v>128000</v>
      </c>
      <c r="J378" s="6">
        <v>0</v>
      </c>
      <c r="K378" s="6">
        <v>0</v>
      </c>
      <c r="L378" s="6">
        <v>0</v>
      </c>
      <c r="M378" s="6">
        <v>0</v>
      </c>
      <c r="N378" s="6">
        <v>128000</v>
      </c>
      <c r="O378" s="16">
        <f t="shared" ref="O378:O381" si="7">+I378*3.5%</f>
        <v>4480</v>
      </c>
    </row>
    <row r="379" spans="1:15" x14ac:dyDescent="0.2">
      <c r="A379" s="4" t="s">
        <v>14</v>
      </c>
      <c r="B379" s="4" t="s">
        <v>881</v>
      </c>
      <c r="C379" s="4">
        <v>12353</v>
      </c>
      <c r="D379" s="5">
        <v>45846</v>
      </c>
      <c r="E379" s="4">
        <v>700108357</v>
      </c>
      <c r="F379" s="4" t="s">
        <v>470</v>
      </c>
      <c r="G379" s="4">
        <v>901907732</v>
      </c>
      <c r="H379" s="4" t="s">
        <v>471</v>
      </c>
      <c r="I379" s="6">
        <v>103000</v>
      </c>
      <c r="J379" s="6">
        <v>0</v>
      </c>
      <c r="K379" s="6">
        <v>0</v>
      </c>
      <c r="L379" s="6">
        <v>0</v>
      </c>
      <c r="M379" s="6">
        <v>0</v>
      </c>
      <c r="N379" s="6">
        <v>103000</v>
      </c>
      <c r="O379" s="16">
        <f t="shared" si="7"/>
        <v>3605.0000000000005</v>
      </c>
    </row>
    <row r="380" spans="1:15" x14ac:dyDescent="0.2">
      <c r="A380" s="4" t="s">
        <v>14</v>
      </c>
      <c r="B380" s="4" t="s">
        <v>882</v>
      </c>
      <c r="C380" s="4">
        <v>8832</v>
      </c>
      <c r="D380" s="5">
        <v>45846</v>
      </c>
      <c r="E380" s="4">
        <v>901476410</v>
      </c>
      <c r="F380" s="4" t="s">
        <v>473</v>
      </c>
      <c r="G380" s="4">
        <v>901907732</v>
      </c>
      <c r="H380" s="4" t="s">
        <v>16</v>
      </c>
      <c r="I380" s="6">
        <v>34454</v>
      </c>
      <c r="J380" s="6">
        <v>6546</v>
      </c>
      <c r="K380" s="6">
        <v>0</v>
      </c>
      <c r="L380" s="6">
        <v>0</v>
      </c>
      <c r="M380" s="6">
        <v>0</v>
      </c>
      <c r="N380" s="6">
        <v>41000</v>
      </c>
      <c r="O380" s="16">
        <f>+I380*2.5%</f>
        <v>861.35</v>
      </c>
    </row>
    <row r="381" spans="1:15" x14ac:dyDescent="0.2">
      <c r="A381" s="4" t="s">
        <v>14</v>
      </c>
      <c r="B381" s="4" t="s">
        <v>883</v>
      </c>
      <c r="C381" s="4">
        <v>12349</v>
      </c>
      <c r="D381" s="5">
        <v>45845</v>
      </c>
      <c r="E381" s="4">
        <v>700108357</v>
      </c>
      <c r="F381" s="4" t="s">
        <v>470</v>
      </c>
      <c r="G381" s="4">
        <v>901907732</v>
      </c>
      <c r="H381" s="4" t="s">
        <v>471</v>
      </c>
      <c r="I381" s="6">
        <v>100000</v>
      </c>
      <c r="J381" s="6">
        <v>0</v>
      </c>
      <c r="K381" s="6">
        <v>0</v>
      </c>
      <c r="L381" s="6">
        <v>0</v>
      </c>
      <c r="M381" s="6">
        <v>0</v>
      </c>
      <c r="N381" s="6">
        <v>100000</v>
      </c>
      <c r="O381" s="16">
        <f t="shared" si="7"/>
        <v>3500.0000000000005</v>
      </c>
    </row>
    <row r="382" spans="1:15" x14ac:dyDescent="0.2">
      <c r="A382" s="4" t="s">
        <v>14</v>
      </c>
      <c r="B382" s="4" t="s">
        <v>884</v>
      </c>
      <c r="C382" s="4">
        <v>6788</v>
      </c>
      <c r="D382" s="5">
        <v>45843</v>
      </c>
      <c r="E382" s="4">
        <v>900762275</v>
      </c>
      <c r="F382" s="4" t="s">
        <v>532</v>
      </c>
      <c r="G382" s="4">
        <v>901907732</v>
      </c>
      <c r="H382" s="4" t="s">
        <v>16</v>
      </c>
      <c r="I382" s="6">
        <v>1053660</v>
      </c>
      <c r="J382" s="6">
        <v>0</v>
      </c>
      <c r="K382" s="6">
        <v>0</v>
      </c>
      <c r="L382" s="6">
        <v>0</v>
      </c>
      <c r="M382" s="6">
        <v>0</v>
      </c>
      <c r="N382" s="6">
        <v>1053660</v>
      </c>
    </row>
    <row r="383" spans="1:15" x14ac:dyDescent="0.2">
      <c r="A383" s="4" t="s">
        <v>14</v>
      </c>
      <c r="B383" s="4" t="s">
        <v>885</v>
      </c>
      <c r="C383" s="4">
        <v>1247</v>
      </c>
      <c r="D383" s="5">
        <v>45842</v>
      </c>
      <c r="E383" s="4">
        <v>93397337</v>
      </c>
      <c r="F383" s="4" t="s">
        <v>525</v>
      </c>
      <c r="G383" s="4">
        <v>901907732</v>
      </c>
      <c r="H383" s="4" t="s">
        <v>16</v>
      </c>
      <c r="I383" s="6">
        <v>50000</v>
      </c>
      <c r="J383" s="6">
        <v>0</v>
      </c>
      <c r="K383" s="6">
        <v>0</v>
      </c>
      <c r="L383" s="6">
        <v>0</v>
      </c>
      <c r="M383" s="6">
        <v>0</v>
      </c>
      <c r="N383" s="6">
        <v>50000</v>
      </c>
    </row>
    <row r="384" spans="1:15" x14ac:dyDescent="0.2">
      <c r="A384" s="4" t="s">
        <v>14</v>
      </c>
      <c r="B384" s="4" t="s">
        <v>886</v>
      </c>
      <c r="C384" s="4">
        <v>12334</v>
      </c>
      <c r="D384" s="5">
        <v>45842</v>
      </c>
      <c r="E384" s="4">
        <v>700108357</v>
      </c>
      <c r="F384" s="4" t="s">
        <v>470</v>
      </c>
      <c r="G384" s="4">
        <v>901907732</v>
      </c>
      <c r="H384" s="4" t="s">
        <v>471</v>
      </c>
      <c r="I384" s="6">
        <v>139000</v>
      </c>
      <c r="J384" s="6">
        <v>0</v>
      </c>
      <c r="K384" s="6">
        <v>0</v>
      </c>
      <c r="L384" s="6">
        <v>0</v>
      </c>
      <c r="M384" s="6">
        <v>0</v>
      </c>
      <c r="N384" s="6">
        <v>139000</v>
      </c>
      <c r="O384" s="16">
        <f>+I384*3.5%</f>
        <v>4865.0000000000009</v>
      </c>
    </row>
    <row r="385" spans="1:16" x14ac:dyDescent="0.2">
      <c r="A385" s="4" t="s">
        <v>14</v>
      </c>
      <c r="B385" s="4" t="s">
        <v>887</v>
      </c>
      <c r="C385" s="4">
        <v>8716</v>
      </c>
      <c r="D385" s="5">
        <v>45841</v>
      </c>
      <c r="E385" s="4">
        <v>901476410</v>
      </c>
      <c r="F385" s="4" t="s">
        <v>473</v>
      </c>
      <c r="G385" s="4">
        <v>901907732</v>
      </c>
      <c r="H385" s="4" t="s">
        <v>16</v>
      </c>
      <c r="I385" s="6">
        <v>66387</v>
      </c>
      <c r="J385" s="6">
        <v>12613</v>
      </c>
      <c r="K385" s="6">
        <v>0</v>
      </c>
      <c r="L385" s="6">
        <v>0</v>
      </c>
      <c r="M385" s="6">
        <v>0</v>
      </c>
      <c r="N385" s="6">
        <v>79000</v>
      </c>
      <c r="O385" s="16">
        <f>+I385*2.5%</f>
        <v>1659.6750000000002</v>
      </c>
    </row>
    <row r="386" spans="1:16" x14ac:dyDescent="0.2">
      <c r="A386" s="4" t="s">
        <v>14</v>
      </c>
      <c r="B386" s="4" t="s">
        <v>888</v>
      </c>
      <c r="C386" s="4">
        <v>12329</v>
      </c>
      <c r="D386" s="5">
        <v>45841</v>
      </c>
      <c r="E386" s="4">
        <v>700108357</v>
      </c>
      <c r="F386" s="4" t="s">
        <v>470</v>
      </c>
      <c r="G386" s="4">
        <v>901907732</v>
      </c>
      <c r="H386" s="4" t="s">
        <v>471</v>
      </c>
      <c r="I386" s="6">
        <v>85500</v>
      </c>
      <c r="J386" s="6">
        <v>0</v>
      </c>
      <c r="K386" s="6">
        <v>0</v>
      </c>
      <c r="L386" s="6">
        <v>0</v>
      </c>
      <c r="M386" s="6">
        <v>0</v>
      </c>
      <c r="N386" s="6">
        <v>85500</v>
      </c>
    </row>
    <row r="387" spans="1:16" x14ac:dyDescent="0.2">
      <c r="A387" s="4" t="s">
        <v>14</v>
      </c>
      <c r="B387" s="4" t="s">
        <v>889</v>
      </c>
      <c r="C387" s="4">
        <v>5901</v>
      </c>
      <c r="D387" s="5">
        <v>45841</v>
      </c>
      <c r="E387" s="4">
        <v>901519900</v>
      </c>
      <c r="F387" s="4" t="s">
        <v>467</v>
      </c>
      <c r="G387" s="4">
        <v>901907732</v>
      </c>
      <c r="H387" s="4" t="s">
        <v>16</v>
      </c>
      <c r="I387" s="6">
        <v>58368.07</v>
      </c>
      <c r="J387" s="6">
        <v>4629.93</v>
      </c>
      <c r="K387" s="6">
        <v>0</v>
      </c>
      <c r="L387" s="6">
        <v>0</v>
      </c>
      <c r="M387" s="6">
        <v>0</v>
      </c>
      <c r="N387" s="6">
        <v>62998</v>
      </c>
    </row>
    <row r="388" spans="1:16" x14ac:dyDescent="0.2">
      <c r="A388" s="4" t="s">
        <v>14</v>
      </c>
      <c r="B388" s="4" t="s">
        <v>890</v>
      </c>
      <c r="C388" s="4">
        <v>12325</v>
      </c>
      <c r="D388" s="5">
        <v>45840</v>
      </c>
      <c r="E388" s="4">
        <v>700108357</v>
      </c>
      <c r="F388" s="4" t="s">
        <v>470</v>
      </c>
      <c r="G388" s="4">
        <v>901907732</v>
      </c>
      <c r="H388" s="4" t="s">
        <v>471</v>
      </c>
      <c r="I388" s="6">
        <v>68000</v>
      </c>
      <c r="J388" s="6">
        <v>0</v>
      </c>
      <c r="K388" s="6">
        <v>0</v>
      </c>
      <c r="L388" s="6">
        <v>0</v>
      </c>
      <c r="M388" s="6">
        <v>0</v>
      </c>
      <c r="N388" s="6">
        <v>68000</v>
      </c>
    </row>
    <row r="389" spans="1:16" x14ac:dyDescent="0.2">
      <c r="A389" s="4" t="s">
        <v>14</v>
      </c>
      <c r="B389" s="4" t="s">
        <v>891</v>
      </c>
      <c r="C389" s="4">
        <v>12320</v>
      </c>
      <c r="D389" s="5">
        <v>45839</v>
      </c>
      <c r="E389" s="4">
        <v>700108357</v>
      </c>
      <c r="F389" s="4" t="s">
        <v>470</v>
      </c>
      <c r="G389" s="4">
        <v>901907732</v>
      </c>
      <c r="H389" s="4" t="s">
        <v>471</v>
      </c>
      <c r="I389" s="6">
        <v>76000</v>
      </c>
      <c r="J389" s="6">
        <v>0</v>
      </c>
      <c r="K389" s="6">
        <v>0</v>
      </c>
      <c r="L389" s="6">
        <v>0</v>
      </c>
      <c r="M389" s="6">
        <v>0</v>
      </c>
      <c r="N389" s="6">
        <v>76000</v>
      </c>
    </row>
    <row r="390" spans="1:16" x14ac:dyDescent="0.2">
      <c r="A390" s="4" t="s">
        <v>14</v>
      </c>
      <c r="B390" s="4" t="s">
        <v>892</v>
      </c>
      <c r="C390" s="4">
        <v>2640</v>
      </c>
      <c r="D390" s="5">
        <v>45839</v>
      </c>
      <c r="E390" s="4">
        <v>3486666</v>
      </c>
      <c r="F390" s="4" t="s">
        <v>437</v>
      </c>
      <c r="G390" s="4">
        <v>901907732</v>
      </c>
      <c r="H390" s="4" t="s">
        <v>16</v>
      </c>
      <c r="I390" s="6">
        <v>938000</v>
      </c>
      <c r="J390" s="6">
        <v>0</v>
      </c>
      <c r="K390" s="6">
        <v>0</v>
      </c>
      <c r="L390" s="6">
        <v>0</v>
      </c>
      <c r="M390" s="6">
        <v>0</v>
      </c>
      <c r="N390" s="6">
        <v>938000</v>
      </c>
      <c r="P390" s="7">
        <f>+I390*3.5%</f>
        <v>32830</v>
      </c>
    </row>
    <row r="391" spans="1:16" x14ac:dyDescent="0.2">
      <c r="A391" s="4" t="s">
        <v>14</v>
      </c>
      <c r="B391" s="4" t="s">
        <v>893</v>
      </c>
      <c r="C391" s="4">
        <v>8645</v>
      </c>
      <c r="D391" s="5">
        <v>45839</v>
      </c>
      <c r="E391" s="4">
        <v>901476410</v>
      </c>
      <c r="F391" s="4" t="s">
        <v>473</v>
      </c>
      <c r="G391" s="4">
        <v>901907732</v>
      </c>
      <c r="H391" s="4" t="s">
        <v>16</v>
      </c>
      <c r="I391" s="6">
        <v>359580</v>
      </c>
      <c r="J391" s="6">
        <v>68320</v>
      </c>
      <c r="K391" s="6">
        <v>0</v>
      </c>
      <c r="L391" s="6">
        <v>0</v>
      </c>
      <c r="M391" s="6">
        <v>0</v>
      </c>
      <c r="N391" s="6">
        <v>427900</v>
      </c>
      <c r="O391" s="16">
        <f>+I391*2.5%</f>
        <v>8989.5</v>
      </c>
    </row>
    <row r="392" spans="1:16" x14ac:dyDescent="0.2">
      <c r="A392" s="4" t="s">
        <v>14</v>
      </c>
      <c r="B392" s="4" t="s">
        <v>894</v>
      </c>
      <c r="C392" s="4">
        <v>1245</v>
      </c>
      <c r="D392" s="5">
        <v>45835</v>
      </c>
      <c r="E392" s="4">
        <v>93397337</v>
      </c>
      <c r="F392" s="4" t="s">
        <v>525</v>
      </c>
      <c r="G392" s="4">
        <v>901907732</v>
      </c>
      <c r="H392" s="4" t="s">
        <v>16</v>
      </c>
      <c r="I392" s="6">
        <v>100000</v>
      </c>
      <c r="J392" s="6">
        <v>0</v>
      </c>
      <c r="K392" s="6">
        <v>0</v>
      </c>
      <c r="L392" s="6">
        <v>0</v>
      </c>
      <c r="M392" s="6">
        <v>0</v>
      </c>
      <c r="N392" s="6">
        <v>100000</v>
      </c>
    </row>
    <row r="393" spans="1:16" x14ac:dyDescent="0.2">
      <c r="A393" s="4" t="s">
        <v>77</v>
      </c>
      <c r="B393" s="4" t="s">
        <v>895</v>
      </c>
      <c r="C393" s="4">
        <v>114</v>
      </c>
      <c r="D393" s="5">
        <v>45834</v>
      </c>
      <c r="E393" s="4">
        <v>901476410</v>
      </c>
      <c r="F393" s="4" t="s">
        <v>473</v>
      </c>
      <c r="G393" s="4">
        <v>901907732</v>
      </c>
      <c r="H393" s="4" t="s">
        <v>16</v>
      </c>
      <c r="I393" s="6">
        <v>-369000</v>
      </c>
      <c r="J393" s="6">
        <v>0</v>
      </c>
      <c r="K393" s="6">
        <v>0</v>
      </c>
      <c r="L393" s="6">
        <v>0</v>
      </c>
      <c r="M393" s="6">
        <v>0</v>
      </c>
      <c r="N393" s="6">
        <v>-369000</v>
      </c>
      <c r="O393" s="16">
        <f t="shared" ref="O393:O394" si="8">+I393*2.5%</f>
        <v>-9225</v>
      </c>
    </row>
    <row r="394" spans="1:16" x14ac:dyDescent="0.2">
      <c r="A394" s="4" t="s">
        <v>14</v>
      </c>
      <c r="B394" s="4" t="s">
        <v>896</v>
      </c>
      <c r="C394" s="4">
        <v>8279</v>
      </c>
      <c r="D394" s="5">
        <v>45820</v>
      </c>
      <c r="E394" s="4">
        <v>901476410</v>
      </c>
      <c r="F394" s="4" t="s">
        <v>473</v>
      </c>
      <c r="G394" s="4">
        <v>901907732</v>
      </c>
      <c r="H394" s="4" t="s">
        <v>16</v>
      </c>
      <c r="I394" s="6">
        <v>369000</v>
      </c>
      <c r="J394" s="6">
        <v>0</v>
      </c>
      <c r="K394" s="6">
        <v>0</v>
      </c>
      <c r="L394" s="6">
        <v>0</v>
      </c>
      <c r="M394" s="6">
        <v>0</v>
      </c>
      <c r="N394" s="6">
        <v>369000</v>
      </c>
      <c r="O394" s="16">
        <f t="shared" si="8"/>
        <v>9225</v>
      </c>
    </row>
    <row r="395" spans="1:16" x14ac:dyDescent="0.2">
      <c r="A395" s="4" t="s">
        <v>14</v>
      </c>
      <c r="B395" s="4" t="s">
        <v>897</v>
      </c>
      <c r="C395" s="4">
        <v>547306</v>
      </c>
      <c r="D395" s="5">
        <v>45834</v>
      </c>
      <c r="E395" s="4">
        <v>800091549</v>
      </c>
      <c r="F395" s="4" t="s">
        <v>408</v>
      </c>
      <c r="G395" s="4">
        <v>901907732</v>
      </c>
      <c r="H395" s="4" t="s">
        <v>427</v>
      </c>
      <c r="I395" s="6">
        <v>1230029</v>
      </c>
      <c r="J395" s="6">
        <v>0</v>
      </c>
      <c r="K395" s="6">
        <v>0</v>
      </c>
      <c r="L395" s="6">
        <v>0</v>
      </c>
      <c r="M395" s="6">
        <v>0</v>
      </c>
      <c r="N395" s="6">
        <v>1230029</v>
      </c>
    </row>
    <row r="396" spans="1:16" x14ac:dyDescent="0.2">
      <c r="A396" s="4" t="s">
        <v>14</v>
      </c>
      <c r="B396" s="4" t="s">
        <v>898</v>
      </c>
      <c r="C396" s="4">
        <v>135186351</v>
      </c>
      <c r="D396" s="5">
        <v>45833</v>
      </c>
      <c r="E396" s="4">
        <v>830114921</v>
      </c>
      <c r="F396" s="4" t="s">
        <v>459</v>
      </c>
      <c r="G396" s="4">
        <v>901907732</v>
      </c>
      <c r="H396" s="4" t="s">
        <v>460</v>
      </c>
      <c r="I396" s="6">
        <v>78800.320000000007</v>
      </c>
      <c r="J396" s="6">
        <v>14972.01</v>
      </c>
      <c r="K396" s="6">
        <v>0</v>
      </c>
      <c r="L396" s="6">
        <v>1485.67</v>
      </c>
      <c r="M396" s="6">
        <v>0</v>
      </c>
      <c r="N396" s="6">
        <v>95258</v>
      </c>
    </row>
    <row r="397" spans="1:16" x14ac:dyDescent="0.2">
      <c r="A397" s="4" t="s">
        <v>14</v>
      </c>
      <c r="B397" s="4" t="s">
        <v>899</v>
      </c>
      <c r="C397" s="4">
        <v>135036307</v>
      </c>
      <c r="D397" s="5">
        <v>45831</v>
      </c>
      <c r="E397" s="4">
        <v>830114921</v>
      </c>
      <c r="F397" s="4" t="s">
        <v>459</v>
      </c>
      <c r="G397" s="4">
        <v>901907732</v>
      </c>
      <c r="H397" s="4" t="s">
        <v>464</v>
      </c>
      <c r="I397" s="6">
        <v>74727.299999999988</v>
      </c>
      <c r="J397" s="6">
        <v>14198.1</v>
      </c>
      <c r="K397" s="6">
        <v>0</v>
      </c>
      <c r="L397" s="6">
        <v>1320.6</v>
      </c>
      <c r="M397" s="6">
        <v>0</v>
      </c>
      <c r="N397" s="6">
        <v>90246</v>
      </c>
    </row>
    <row r="398" spans="1:16" x14ac:dyDescent="0.2">
      <c r="A398" s="4" t="s">
        <v>14</v>
      </c>
      <c r="B398" s="4" t="s">
        <v>900</v>
      </c>
      <c r="C398" s="4">
        <v>1244</v>
      </c>
      <c r="D398" s="5">
        <v>45828</v>
      </c>
      <c r="E398" s="4">
        <v>93397337</v>
      </c>
      <c r="F398" s="4" t="s">
        <v>525</v>
      </c>
      <c r="G398" s="4">
        <v>901907732</v>
      </c>
      <c r="H398" s="4" t="s">
        <v>16</v>
      </c>
      <c r="I398" s="6">
        <v>100000</v>
      </c>
      <c r="J398" s="6">
        <v>0</v>
      </c>
      <c r="K398" s="6">
        <v>0</v>
      </c>
      <c r="L398" s="6">
        <v>0</v>
      </c>
      <c r="M398" s="6">
        <v>0</v>
      </c>
      <c r="N398" s="6">
        <v>100000</v>
      </c>
    </row>
    <row r="399" spans="1:16" x14ac:dyDescent="0.2">
      <c r="A399" s="4" t="s">
        <v>14</v>
      </c>
      <c r="B399" s="4" t="s">
        <v>901</v>
      </c>
      <c r="C399" s="4">
        <v>11853</v>
      </c>
      <c r="D399" s="5">
        <v>45828</v>
      </c>
      <c r="E399" s="4">
        <v>901476410</v>
      </c>
      <c r="F399" s="4" t="s">
        <v>473</v>
      </c>
      <c r="G399" s="4">
        <v>901907732</v>
      </c>
      <c r="H399" s="4" t="s">
        <v>16</v>
      </c>
      <c r="I399" s="6">
        <v>34454</v>
      </c>
      <c r="J399" s="6">
        <v>6546</v>
      </c>
      <c r="K399" s="6">
        <v>0</v>
      </c>
      <c r="L399" s="6">
        <v>0</v>
      </c>
      <c r="M399" s="6">
        <v>0</v>
      </c>
      <c r="N399" s="6">
        <v>41000</v>
      </c>
      <c r="O399" s="16">
        <f t="shared" ref="O399:O400" si="9">+I399*2.5%</f>
        <v>861.35</v>
      </c>
    </row>
    <row r="400" spans="1:16" x14ac:dyDescent="0.2">
      <c r="A400" s="4" t="s">
        <v>14</v>
      </c>
      <c r="B400" s="4" t="s">
        <v>902</v>
      </c>
      <c r="C400" s="4">
        <v>11852</v>
      </c>
      <c r="D400" s="5">
        <v>45828</v>
      </c>
      <c r="E400" s="4">
        <v>901476410</v>
      </c>
      <c r="F400" s="4" t="s">
        <v>473</v>
      </c>
      <c r="G400" s="4">
        <v>901907732</v>
      </c>
      <c r="H400" s="4" t="s">
        <v>16</v>
      </c>
      <c r="I400" s="6">
        <v>281513</v>
      </c>
      <c r="J400" s="6">
        <v>53487</v>
      </c>
      <c r="K400" s="6">
        <v>0</v>
      </c>
      <c r="L400" s="6">
        <v>0</v>
      </c>
      <c r="M400" s="6">
        <v>0</v>
      </c>
      <c r="N400" s="6">
        <v>335000</v>
      </c>
      <c r="O400" s="16">
        <f t="shared" si="9"/>
        <v>7037.8250000000007</v>
      </c>
    </row>
    <row r="401" spans="1:15" x14ac:dyDescent="0.2">
      <c r="A401" s="4" t="s">
        <v>14</v>
      </c>
      <c r="B401" s="4" t="s">
        <v>903</v>
      </c>
      <c r="C401" s="4">
        <v>5103</v>
      </c>
      <c r="D401" s="5">
        <v>45827</v>
      </c>
      <c r="E401" s="4">
        <v>811000784</v>
      </c>
      <c r="F401" s="4" t="s">
        <v>456</v>
      </c>
      <c r="G401" s="4">
        <v>901907732</v>
      </c>
      <c r="H401" s="4" t="s">
        <v>457</v>
      </c>
      <c r="I401" s="6">
        <v>110084.03</v>
      </c>
      <c r="J401" s="6">
        <v>20915.97</v>
      </c>
      <c r="K401" s="6">
        <v>0</v>
      </c>
      <c r="L401" s="6">
        <v>0</v>
      </c>
      <c r="M401" s="6">
        <v>0</v>
      </c>
      <c r="N401" s="6">
        <v>131000</v>
      </c>
    </row>
    <row r="402" spans="1:15" x14ac:dyDescent="0.2">
      <c r="A402" s="4" t="s">
        <v>14</v>
      </c>
      <c r="B402" s="4" t="s">
        <v>904</v>
      </c>
      <c r="C402" s="4">
        <v>11812</v>
      </c>
      <c r="D402" s="5">
        <v>45827</v>
      </c>
      <c r="E402" s="4">
        <v>901476410</v>
      </c>
      <c r="F402" s="4" t="s">
        <v>473</v>
      </c>
      <c r="G402" s="4">
        <v>901907732</v>
      </c>
      <c r="H402" s="4" t="s">
        <v>16</v>
      </c>
      <c r="I402" s="6">
        <v>29412</v>
      </c>
      <c r="J402" s="6">
        <v>5588</v>
      </c>
      <c r="K402" s="6">
        <v>0</v>
      </c>
      <c r="L402" s="6">
        <v>0</v>
      </c>
      <c r="M402" s="6">
        <v>0</v>
      </c>
      <c r="N402" s="6">
        <v>35000</v>
      </c>
      <c r="O402" s="16">
        <f>+I402*2.5%</f>
        <v>735.30000000000007</v>
      </c>
    </row>
    <row r="403" spans="1:15" x14ac:dyDescent="0.2">
      <c r="A403" s="4" t="s">
        <v>14</v>
      </c>
      <c r="B403" s="4" t="s">
        <v>905</v>
      </c>
      <c r="C403" s="4">
        <v>545752</v>
      </c>
      <c r="D403" s="5">
        <v>45827</v>
      </c>
      <c r="E403" s="4">
        <v>800091549</v>
      </c>
      <c r="F403" s="4" t="s">
        <v>408</v>
      </c>
      <c r="G403" s="4">
        <v>901907732</v>
      </c>
      <c r="H403" s="4" t="s">
        <v>427</v>
      </c>
      <c r="I403" s="6">
        <v>134878</v>
      </c>
      <c r="J403" s="6">
        <v>0</v>
      </c>
      <c r="K403" s="6">
        <v>0</v>
      </c>
      <c r="L403" s="6">
        <v>0</v>
      </c>
      <c r="M403" s="6">
        <v>0</v>
      </c>
      <c r="N403" s="6">
        <v>134878</v>
      </c>
    </row>
    <row r="404" spans="1:15" x14ac:dyDescent="0.2">
      <c r="A404" s="4" t="s">
        <v>14</v>
      </c>
      <c r="B404" s="4" t="s">
        <v>906</v>
      </c>
      <c r="C404" s="4">
        <v>545399</v>
      </c>
      <c r="D404" s="5">
        <v>45825</v>
      </c>
      <c r="E404" s="4">
        <v>800091549</v>
      </c>
      <c r="F404" s="4" t="s">
        <v>408</v>
      </c>
      <c r="G404" s="4">
        <v>901907732</v>
      </c>
      <c r="H404" s="4" t="s">
        <v>427</v>
      </c>
      <c r="I404" s="6">
        <v>244437</v>
      </c>
      <c r="J404" s="6">
        <v>0</v>
      </c>
      <c r="K404" s="6">
        <v>0</v>
      </c>
      <c r="L404" s="6">
        <v>0</v>
      </c>
      <c r="M404" s="6">
        <v>0</v>
      </c>
      <c r="N404" s="6">
        <v>244437</v>
      </c>
    </row>
    <row r="405" spans="1:15" x14ac:dyDescent="0.2">
      <c r="A405" s="4" t="s">
        <v>14</v>
      </c>
      <c r="B405" s="4" t="s">
        <v>907</v>
      </c>
      <c r="C405" s="4">
        <v>545398</v>
      </c>
      <c r="D405" s="5">
        <v>45825</v>
      </c>
      <c r="E405" s="4">
        <v>800091549</v>
      </c>
      <c r="F405" s="4" t="s">
        <v>408</v>
      </c>
      <c r="G405" s="4">
        <v>901907732</v>
      </c>
      <c r="H405" s="4" t="s">
        <v>427</v>
      </c>
      <c r="I405" s="6">
        <v>809069</v>
      </c>
      <c r="J405" s="6">
        <v>0</v>
      </c>
      <c r="K405" s="6">
        <v>0</v>
      </c>
      <c r="L405" s="6">
        <v>0</v>
      </c>
      <c r="M405" s="6">
        <v>0</v>
      </c>
      <c r="N405" s="6">
        <v>809069</v>
      </c>
    </row>
    <row r="406" spans="1:15" x14ac:dyDescent="0.2">
      <c r="A406" s="4" t="s">
        <v>14</v>
      </c>
      <c r="B406" s="4" t="s">
        <v>908</v>
      </c>
      <c r="C406" s="4">
        <v>545397</v>
      </c>
      <c r="D406" s="5">
        <v>45825</v>
      </c>
      <c r="E406" s="4">
        <v>800091549</v>
      </c>
      <c r="F406" s="4" t="s">
        <v>408</v>
      </c>
      <c r="G406" s="4">
        <v>901907732</v>
      </c>
      <c r="H406" s="4" t="s">
        <v>427</v>
      </c>
      <c r="I406" s="6">
        <v>2518501</v>
      </c>
      <c r="J406" s="6">
        <v>0</v>
      </c>
      <c r="K406" s="6">
        <v>0</v>
      </c>
      <c r="L406" s="6">
        <v>0</v>
      </c>
      <c r="M406" s="6">
        <v>0</v>
      </c>
      <c r="N406" s="6">
        <v>2518501</v>
      </c>
    </row>
    <row r="407" spans="1:15" x14ac:dyDescent="0.2">
      <c r="A407" s="4" t="s">
        <v>14</v>
      </c>
      <c r="B407" s="4" t="s">
        <v>909</v>
      </c>
      <c r="C407" s="4">
        <v>545396</v>
      </c>
      <c r="D407" s="5">
        <v>45825</v>
      </c>
      <c r="E407" s="4">
        <v>800091549</v>
      </c>
      <c r="F407" s="4" t="s">
        <v>408</v>
      </c>
      <c r="G407" s="4">
        <v>901907732</v>
      </c>
      <c r="H407" s="4" t="s">
        <v>427</v>
      </c>
      <c r="I407" s="6">
        <v>766485</v>
      </c>
      <c r="J407" s="6">
        <v>0</v>
      </c>
      <c r="K407" s="6">
        <v>0</v>
      </c>
      <c r="L407" s="6">
        <v>0</v>
      </c>
      <c r="M407" s="6">
        <v>0</v>
      </c>
      <c r="N407" s="6">
        <v>766485</v>
      </c>
    </row>
    <row r="408" spans="1:15" x14ac:dyDescent="0.2">
      <c r="A408" s="4" t="s">
        <v>14</v>
      </c>
      <c r="B408" s="4" t="s">
        <v>910</v>
      </c>
      <c r="C408" s="4">
        <v>545395</v>
      </c>
      <c r="D408" s="5">
        <v>45825</v>
      </c>
      <c r="E408" s="4">
        <v>800091549</v>
      </c>
      <c r="F408" s="4" t="s">
        <v>408</v>
      </c>
      <c r="G408" s="4">
        <v>901907732</v>
      </c>
      <c r="H408" s="4" t="s">
        <v>427</v>
      </c>
      <c r="I408" s="6">
        <v>584558</v>
      </c>
      <c r="J408" s="6">
        <v>0</v>
      </c>
      <c r="K408" s="6">
        <v>0</v>
      </c>
      <c r="L408" s="6">
        <v>0</v>
      </c>
      <c r="M408" s="6">
        <v>0</v>
      </c>
      <c r="N408" s="6">
        <v>584558</v>
      </c>
    </row>
    <row r="409" spans="1:15" x14ac:dyDescent="0.2">
      <c r="A409" s="4" t="s">
        <v>14</v>
      </c>
      <c r="B409" s="4" t="s">
        <v>911</v>
      </c>
      <c r="C409" s="4">
        <v>545394</v>
      </c>
      <c r="D409" s="5">
        <v>45825</v>
      </c>
      <c r="E409" s="4">
        <v>800091549</v>
      </c>
      <c r="F409" s="4" t="s">
        <v>408</v>
      </c>
      <c r="G409" s="4">
        <v>901907732</v>
      </c>
      <c r="H409" s="4" t="s">
        <v>427</v>
      </c>
      <c r="I409" s="6">
        <v>860597</v>
      </c>
      <c r="J409" s="6">
        <v>0</v>
      </c>
      <c r="K409" s="6">
        <v>0</v>
      </c>
      <c r="L409" s="6">
        <v>0</v>
      </c>
      <c r="M409" s="6">
        <v>0</v>
      </c>
      <c r="N409" s="6">
        <v>860597</v>
      </c>
    </row>
    <row r="410" spans="1:15" x14ac:dyDescent="0.2">
      <c r="A410" s="4" t="s">
        <v>14</v>
      </c>
      <c r="B410" s="4" t="s">
        <v>912</v>
      </c>
      <c r="C410" s="4">
        <v>545393</v>
      </c>
      <c r="D410" s="5">
        <v>45825</v>
      </c>
      <c r="E410" s="4">
        <v>800091549</v>
      </c>
      <c r="F410" s="4" t="s">
        <v>408</v>
      </c>
      <c r="G410" s="4">
        <v>901907732</v>
      </c>
      <c r="H410" s="4" t="s">
        <v>427</v>
      </c>
      <c r="I410" s="6">
        <v>1723680</v>
      </c>
      <c r="J410" s="6">
        <v>0</v>
      </c>
      <c r="K410" s="6">
        <v>0</v>
      </c>
      <c r="L410" s="6">
        <v>0</v>
      </c>
      <c r="M410" s="6">
        <v>0</v>
      </c>
      <c r="N410" s="6">
        <v>1723680</v>
      </c>
    </row>
    <row r="411" spans="1:15" x14ac:dyDescent="0.2">
      <c r="A411" s="4" t="s">
        <v>14</v>
      </c>
      <c r="B411" s="4" t="s">
        <v>913</v>
      </c>
      <c r="C411" s="4">
        <v>545392</v>
      </c>
      <c r="D411" s="5">
        <v>45825</v>
      </c>
      <c r="E411" s="4">
        <v>800091549</v>
      </c>
      <c r="F411" s="4" t="s">
        <v>408</v>
      </c>
      <c r="G411" s="4">
        <v>901907732</v>
      </c>
      <c r="H411" s="4" t="s">
        <v>427</v>
      </c>
      <c r="I411" s="6">
        <v>452397</v>
      </c>
      <c r="J411" s="6">
        <v>0</v>
      </c>
      <c r="K411" s="6">
        <v>0</v>
      </c>
      <c r="L411" s="6">
        <v>0</v>
      </c>
      <c r="M411" s="6">
        <v>0</v>
      </c>
      <c r="N411" s="6">
        <v>452397</v>
      </c>
    </row>
    <row r="412" spans="1:15" x14ac:dyDescent="0.2">
      <c r="A412" s="4" t="s">
        <v>14</v>
      </c>
      <c r="B412" s="4" t="s">
        <v>914</v>
      </c>
      <c r="C412" s="4">
        <v>545391</v>
      </c>
      <c r="D412" s="5">
        <v>45825</v>
      </c>
      <c r="E412" s="4">
        <v>800091549</v>
      </c>
      <c r="F412" s="4" t="s">
        <v>408</v>
      </c>
      <c r="G412" s="4">
        <v>901907732</v>
      </c>
      <c r="H412" s="4" t="s">
        <v>427</v>
      </c>
      <c r="I412" s="6">
        <v>870387</v>
      </c>
      <c r="J412" s="6">
        <v>0</v>
      </c>
      <c r="K412" s="6">
        <v>0</v>
      </c>
      <c r="L412" s="6">
        <v>0</v>
      </c>
      <c r="M412" s="6">
        <v>0</v>
      </c>
      <c r="N412" s="6">
        <v>870387</v>
      </c>
    </row>
    <row r="413" spans="1:15" x14ac:dyDescent="0.2">
      <c r="A413" s="4" t="s">
        <v>14</v>
      </c>
      <c r="B413" s="4" t="s">
        <v>915</v>
      </c>
      <c r="C413" s="4">
        <v>545390</v>
      </c>
      <c r="D413" s="5">
        <v>45825</v>
      </c>
      <c r="E413" s="4">
        <v>800091549</v>
      </c>
      <c r="F413" s="4" t="s">
        <v>408</v>
      </c>
      <c r="G413" s="4">
        <v>901907732</v>
      </c>
      <c r="H413" s="4" t="s">
        <v>427</v>
      </c>
      <c r="I413" s="6">
        <v>354566</v>
      </c>
      <c r="J413" s="6">
        <v>0</v>
      </c>
      <c r="K413" s="6">
        <v>0</v>
      </c>
      <c r="L413" s="6">
        <v>0</v>
      </c>
      <c r="M413" s="6">
        <v>0</v>
      </c>
      <c r="N413" s="6">
        <v>354566</v>
      </c>
    </row>
    <row r="414" spans="1:15" x14ac:dyDescent="0.2">
      <c r="A414" s="4" t="s">
        <v>14</v>
      </c>
      <c r="B414" s="4" t="s">
        <v>916</v>
      </c>
      <c r="C414" s="4">
        <v>105105</v>
      </c>
      <c r="D414" s="5">
        <v>45825</v>
      </c>
      <c r="E414" s="4">
        <v>901217437</v>
      </c>
      <c r="F414" s="4" t="s">
        <v>917</v>
      </c>
      <c r="G414" s="4">
        <v>901907732</v>
      </c>
      <c r="H414" s="4" t="s">
        <v>16</v>
      </c>
      <c r="I414" s="6">
        <v>24369.75</v>
      </c>
      <c r="J414" s="6">
        <v>4630.25</v>
      </c>
      <c r="K414" s="6">
        <v>0</v>
      </c>
      <c r="L414" s="6">
        <v>0</v>
      </c>
      <c r="M414" s="6">
        <v>0</v>
      </c>
      <c r="N414" s="6">
        <v>29000</v>
      </c>
    </row>
    <row r="415" spans="1:15" x14ac:dyDescent="0.2">
      <c r="A415" s="4" t="s">
        <v>14</v>
      </c>
      <c r="B415" s="4" t="s">
        <v>918</v>
      </c>
      <c r="C415" s="4">
        <v>72515</v>
      </c>
      <c r="D415" s="5">
        <v>45825</v>
      </c>
      <c r="E415" s="4">
        <v>830085336</v>
      </c>
      <c r="F415" s="4" t="s">
        <v>449</v>
      </c>
      <c r="G415" s="4">
        <v>901907732</v>
      </c>
      <c r="H415" s="4" t="s">
        <v>450</v>
      </c>
      <c r="I415" s="6">
        <v>127731.1</v>
      </c>
      <c r="J415" s="6">
        <v>24268.91</v>
      </c>
      <c r="K415" s="6">
        <v>0</v>
      </c>
      <c r="L415" s="6">
        <v>0</v>
      </c>
      <c r="M415" s="6">
        <v>0</v>
      </c>
      <c r="N415" s="6">
        <v>152000.01</v>
      </c>
    </row>
    <row r="416" spans="1:15" x14ac:dyDescent="0.2">
      <c r="A416" s="4" t="s">
        <v>14</v>
      </c>
      <c r="B416" s="4" t="s">
        <v>919</v>
      </c>
      <c r="C416" s="4">
        <v>45816</v>
      </c>
      <c r="D416" s="5">
        <v>45825</v>
      </c>
      <c r="E416" s="4">
        <v>901476410</v>
      </c>
      <c r="F416" s="4" t="s">
        <v>473</v>
      </c>
      <c r="G416" s="4">
        <v>901907732</v>
      </c>
      <c r="H416" s="4" t="s">
        <v>16</v>
      </c>
      <c r="I416" s="6">
        <v>55462</v>
      </c>
      <c r="J416" s="6">
        <v>10538</v>
      </c>
      <c r="K416" s="6">
        <v>0</v>
      </c>
      <c r="L416" s="6">
        <v>0</v>
      </c>
      <c r="M416" s="6">
        <v>0</v>
      </c>
      <c r="N416" s="6">
        <v>66000</v>
      </c>
      <c r="O416" s="16">
        <f>+I416*2.5%</f>
        <v>1386.5500000000002</v>
      </c>
    </row>
    <row r="417" spans="1:16" x14ac:dyDescent="0.2">
      <c r="A417" s="4" t="s">
        <v>14</v>
      </c>
      <c r="B417" s="4" t="s">
        <v>920</v>
      </c>
      <c r="C417" s="4">
        <v>544553</v>
      </c>
      <c r="D417" s="5">
        <v>45824</v>
      </c>
      <c r="E417" s="4">
        <v>800091549</v>
      </c>
      <c r="F417" s="4" t="s">
        <v>408</v>
      </c>
      <c r="G417" s="4">
        <v>901907732</v>
      </c>
      <c r="H417" s="4" t="s">
        <v>427</v>
      </c>
      <c r="I417" s="6">
        <v>1489725</v>
      </c>
      <c r="J417" s="6">
        <v>0</v>
      </c>
      <c r="K417" s="6">
        <v>0</v>
      </c>
      <c r="L417" s="6">
        <v>0</v>
      </c>
      <c r="M417" s="6">
        <v>0</v>
      </c>
      <c r="N417" s="6">
        <v>1489725</v>
      </c>
    </row>
    <row r="418" spans="1:16" x14ac:dyDescent="0.2">
      <c r="A418" s="4" t="s">
        <v>14</v>
      </c>
      <c r="B418" s="4" t="s">
        <v>921</v>
      </c>
      <c r="C418" s="4">
        <v>1242</v>
      </c>
      <c r="D418" s="5">
        <v>45821</v>
      </c>
      <c r="E418" s="4">
        <v>93397337</v>
      </c>
      <c r="F418" s="4" t="s">
        <v>525</v>
      </c>
      <c r="G418" s="4">
        <v>901907732</v>
      </c>
      <c r="H418" s="4" t="s">
        <v>16</v>
      </c>
      <c r="I418" s="6">
        <v>200000</v>
      </c>
      <c r="J418" s="6">
        <v>0</v>
      </c>
      <c r="K418" s="6">
        <v>0</v>
      </c>
      <c r="L418" s="6">
        <v>0</v>
      </c>
      <c r="M418" s="6">
        <v>0</v>
      </c>
      <c r="N418" s="6">
        <v>200000</v>
      </c>
    </row>
    <row r="419" spans="1:16" x14ac:dyDescent="0.2">
      <c r="A419" s="4" t="s">
        <v>14</v>
      </c>
      <c r="B419" s="4" t="s">
        <v>922</v>
      </c>
      <c r="C419" s="4">
        <v>543830</v>
      </c>
      <c r="D419" s="5">
        <v>45820</v>
      </c>
      <c r="E419" s="4">
        <v>800091549</v>
      </c>
      <c r="F419" s="4" t="s">
        <v>408</v>
      </c>
      <c r="G419" s="4">
        <v>901907732</v>
      </c>
      <c r="H419" s="4" t="s">
        <v>427</v>
      </c>
      <c r="I419" s="6">
        <v>518725</v>
      </c>
      <c r="J419" s="6">
        <v>0</v>
      </c>
      <c r="K419" s="6">
        <v>0</v>
      </c>
      <c r="L419" s="6">
        <v>0</v>
      </c>
      <c r="M419" s="6">
        <v>0</v>
      </c>
      <c r="N419" s="6">
        <v>518725</v>
      </c>
    </row>
    <row r="420" spans="1:16" x14ac:dyDescent="0.2">
      <c r="A420" s="4" t="s">
        <v>14</v>
      </c>
      <c r="B420" s="4" t="s">
        <v>923</v>
      </c>
      <c r="C420" s="4">
        <v>8302</v>
      </c>
      <c r="D420" s="5">
        <v>45820</v>
      </c>
      <c r="E420" s="4">
        <v>901476410</v>
      </c>
      <c r="F420" s="4" t="s">
        <v>473</v>
      </c>
      <c r="G420" s="4">
        <v>901907732</v>
      </c>
      <c r="H420" s="4" t="s">
        <v>16</v>
      </c>
      <c r="I420" s="6">
        <v>369000</v>
      </c>
      <c r="J420" s="6">
        <v>0</v>
      </c>
      <c r="K420" s="6">
        <v>0</v>
      </c>
      <c r="L420" s="6">
        <v>0</v>
      </c>
      <c r="M420" s="6">
        <v>0</v>
      </c>
      <c r="N420" s="6">
        <v>369000</v>
      </c>
      <c r="O420" s="16">
        <f t="shared" ref="O420:O421" si="10">+I420*2.5%</f>
        <v>9225</v>
      </c>
    </row>
    <row r="421" spans="1:16" x14ac:dyDescent="0.2">
      <c r="A421" s="4" t="s">
        <v>14</v>
      </c>
      <c r="B421" s="4" t="s">
        <v>924</v>
      </c>
      <c r="C421" s="4">
        <v>8280</v>
      </c>
      <c r="D421" s="5">
        <v>45820</v>
      </c>
      <c r="E421" s="4">
        <v>901476410</v>
      </c>
      <c r="F421" s="4" t="s">
        <v>473</v>
      </c>
      <c r="G421" s="4">
        <v>901907732</v>
      </c>
      <c r="H421" s="4" t="s">
        <v>16</v>
      </c>
      <c r="I421" s="6">
        <v>29832</v>
      </c>
      <c r="J421" s="6">
        <v>5668</v>
      </c>
      <c r="K421" s="6">
        <v>0</v>
      </c>
      <c r="L421" s="6">
        <v>0</v>
      </c>
      <c r="M421" s="6">
        <v>0</v>
      </c>
      <c r="N421" s="6">
        <v>35500</v>
      </c>
      <c r="O421" s="16">
        <f t="shared" si="10"/>
        <v>745.80000000000007</v>
      </c>
    </row>
    <row r="422" spans="1:16" x14ac:dyDescent="0.2">
      <c r="A422" s="4" t="s">
        <v>14</v>
      </c>
      <c r="B422" s="4" t="s">
        <v>925</v>
      </c>
      <c r="C422" s="4">
        <v>72036</v>
      </c>
      <c r="D422" s="5">
        <v>45814</v>
      </c>
      <c r="E422" s="4">
        <v>830085336</v>
      </c>
      <c r="F422" s="4" t="s">
        <v>449</v>
      </c>
      <c r="G422" s="4">
        <v>901907732</v>
      </c>
      <c r="H422" s="4" t="s">
        <v>450</v>
      </c>
      <c r="I422" s="6">
        <v>89915.97</v>
      </c>
      <c r="J422" s="6">
        <v>17084.04</v>
      </c>
      <c r="K422" s="6">
        <v>0</v>
      </c>
      <c r="L422" s="6">
        <v>0</v>
      </c>
      <c r="M422" s="6">
        <v>0</v>
      </c>
      <c r="N422" s="6">
        <v>107000.01</v>
      </c>
    </row>
    <row r="423" spans="1:16" x14ac:dyDescent="0.2">
      <c r="A423" s="4" t="s">
        <v>14</v>
      </c>
      <c r="B423" s="4" t="s">
        <v>926</v>
      </c>
      <c r="C423" s="4">
        <v>8121</v>
      </c>
      <c r="D423" s="5">
        <v>45813</v>
      </c>
      <c r="E423" s="4">
        <v>901476410</v>
      </c>
      <c r="F423" s="4" t="s">
        <v>473</v>
      </c>
      <c r="G423" s="4">
        <v>901907732</v>
      </c>
      <c r="H423" s="4" t="s">
        <v>16</v>
      </c>
      <c r="I423" s="6">
        <v>132353</v>
      </c>
      <c r="J423" s="6">
        <v>25147</v>
      </c>
      <c r="K423" s="6">
        <v>0</v>
      </c>
      <c r="L423" s="6">
        <v>0</v>
      </c>
      <c r="M423" s="6">
        <v>0</v>
      </c>
      <c r="N423" s="6">
        <v>157500</v>
      </c>
      <c r="O423" s="16">
        <f>+I423*2.5%</f>
        <v>3308.8250000000003</v>
      </c>
    </row>
    <row r="424" spans="1:16" x14ac:dyDescent="0.2">
      <c r="A424" s="4" t="s">
        <v>14</v>
      </c>
      <c r="B424" s="4" t="s">
        <v>927</v>
      </c>
      <c r="C424" s="4">
        <v>73703</v>
      </c>
      <c r="D424" s="5">
        <v>45813</v>
      </c>
      <c r="E424" s="4">
        <v>890981683</v>
      </c>
      <c r="F424" s="4" t="s">
        <v>700</v>
      </c>
      <c r="G424" s="4">
        <v>901907732</v>
      </c>
      <c r="H424" s="4" t="s">
        <v>16</v>
      </c>
      <c r="I424" s="6">
        <v>9579.77</v>
      </c>
      <c r="J424" s="6">
        <v>1820.23</v>
      </c>
      <c r="K424" s="6">
        <v>0</v>
      </c>
      <c r="L424" s="6">
        <v>0</v>
      </c>
      <c r="M424" s="6">
        <v>0</v>
      </c>
      <c r="N424" s="6">
        <v>11400</v>
      </c>
    </row>
    <row r="425" spans="1:16" x14ac:dyDescent="0.2">
      <c r="A425" s="4" t="s">
        <v>14</v>
      </c>
      <c r="B425" s="4" t="s">
        <v>928</v>
      </c>
      <c r="C425" s="4">
        <v>377</v>
      </c>
      <c r="D425" s="5">
        <v>45813</v>
      </c>
      <c r="E425" s="4">
        <v>901438120</v>
      </c>
      <c r="F425" s="4" t="s">
        <v>929</v>
      </c>
      <c r="G425" s="4">
        <v>901907732</v>
      </c>
      <c r="H425" s="4" t="s">
        <v>16</v>
      </c>
      <c r="I425" s="6">
        <v>2882459.58</v>
      </c>
      <c r="J425" s="6">
        <v>0</v>
      </c>
      <c r="K425" s="6">
        <v>0</v>
      </c>
      <c r="L425" s="6">
        <v>0</v>
      </c>
      <c r="M425" s="6">
        <v>0</v>
      </c>
      <c r="N425" s="6">
        <v>2882459.58</v>
      </c>
    </row>
    <row r="426" spans="1:16" x14ac:dyDescent="0.2">
      <c r="A426" s="4" t="s">
        <v>14</v>
      </c>
      <c r="B426" s="4" t="s">
        <v>930</v>
      </c>
      <c r="C426" s="4">
        <v>6678</v>
      </c>
      <c r="D426" s="5">
        <v>45812</v>
      </c>
      <c r="E426" s="4">
        <v>900762275</v>
      </c>
      <c r="F426" s="4" t="s">
        <v>532</v>
      </c>
      <c r="G426" s="4">
        <v>901907732</v>
      </c>
      <c r="H426" s="4" t="s">
        <v>16</v>
      </c>
      <c r="I426" s="6">
        <v>436800</v>
      </c>
      <c r="J426" s="6">
        <v>0</v>
      </c>
      <c r="K426" s="6">
        <v>0</v>
      </c>
      <c r="L426" s="6">
        <v>0</v>
      </c>
      <c r="M426" s="6">
        <v>0</v>
      </c>
      <c r="N426" s="6">
        <v>436800</v>
      </c>
    </row>
    <row r="427" spans="1:16" x14ac:dyDescent="0.2">
      <c r="A427" s="4" t="s">
        <v>14</v>
      </c>
      <c r="B427" s="4" t="s">
        <v>931</v>
      </c>
      <c r="C427" s="4">
        <v>2329</v>
      </c>
      <c r="D427" s="5">
        <v>45811</v>
      </c>
      <c r="E427" s="4">
        <v>3486666</v>
      </c>
      <c r="F427" s="4" t="s">
        <v>437</v>
      </c>
      <c r="G427" s="4">
        <v>901907732</v>
      </c>
      <c r="H427" s="4" t="s">
        <v>16</v>
      </c>
      <c r="I427" s="6">
        <v>1158000</v>
      </c>
      <c r="J427" s="6">
        <v>0</v>
      </c>
      <c r="K427" s="6">
        <v>0</v>
      </c>
      <c r="L427" s="6">
        <v>0</v>
      </c>
      <c r="M427" s="6">
        <v>0</v>
      </c>
      <c r="N427" s="6">
        <v>1158000</v>
      </c>
      <c r="P427" s="7">
        <f>+I427*3.5%</f>
        <v>40530.000000000007</v>
      </c>
    </row>
    <row r="428" spans="1:16" x14ac:dyDescent="0.2">
      <c r="A428" s="4" t="s">
        <v>14</v>
      </c>
      <c r="B428" s="4" t="s">
        <v>932</v>
      </c>
      <c r="C428" s="4">
        <v>8002</v>
      </c>
      <c r="D428" s="5">
        <v>45807</v>
      </c>
      <c r="E428" s="4">
        <v>901476410</v>
      </c>
      <c r="F428" s="4" t="s">
        <v>473</v>
      </c>
      <c r="G428" s="4">
        <v>901907732</v>
      </c>
      <c r="H428" s="4" t="s">
        <v>16</v>
      </c>
      <c r="I428" s="6">
        <v>975000</v>
      </c>
      <c r="J428" s="6">
        <v>0</v>
      </c>
      <c r="K428" s="6">
        <v>0</v>
      </c>
      <c r="L428" s="6">
        <v>0</v>
      </c>
      <c r="M428" s="6">
        <v>0</v>
      </c>
      <c r="N428" s="6">
        <v>975000</v>
      </c>
      <c r="O428" s="16">
        <f>+I428*2.5%</f>
        <v>24375</v>
      </c>
    </row>
    <row r="429" spans="1:16" x14ac:dyDescent="0.2">
      <c r="A429" s="4" t="s">
        <v>14</v>
      </c>
      <c r="B429" s="4" t="s">
        <v>933</v>
      </c>
      <c r="C429" s="4">
        <v>1239</v>
      </c>
      <c r="D429" s="5">
        <v>45807</v>
      </c>
      <c r="E429" s="4">
        <v>93397337</v>
      </c>
      <c r="F429" s="4" t="s">
        <v>525</v>
      </c>
      <c r="G429" s="4">
        <v>901907732</v>
      </c>
      <c r="H429" s="4" t="s">
        <v>16</v>
      </c>
      <c r="I429" s="6">
        <v>300000</v>
      </c>
      <c r="J429" s="6">
        <v>0</v>
      </c>
      <c r="K429" s="6">
        <v>0</v>
      </c>
      <c r="L429" s="6">
        <v>0</v>
      </c>
      <c r="M429" s="6">
        <v>0</v>
      </c>
      <c r="N429" s="6">
        <v>300000</v>
      </c>
    </row>
    <row r="430" spans="1:16" x14ac:dyDescent="0.2">
      <c r="A430" s="4" t="s">
        <v>14</v>
      </c>
      <c r="B430" s="4" t="s">
        <v>934</v>
      </c>
      <c r="C430" s="4">
        <v>353</v>
      </c>
      <c r="D430" s="5">
        <v>45806</v>
      </c>
      <c r="E430" s="4">
        <v>32257553</v>
      </c>
      <c r="F430" s="4" t="s">
        <v>935</v>
      </c>
      <c r="G430" s="4">
        <v>901907732</v>
      </c>
      <c r="H430" s="4" t="s">
        <v>16</v>
      </c>
      <c r="I430" s="6">
        <v>500000</v>
      </c>
      <c r="J430" s="6">
        <v>0</v>
      </c>
      <c r="K430" s="6">
        <v>0</v>
      </c>
      <c r="L430" s="6">
        <v>0</v>
      </c>
      <c r="M430" s="6">
        <v>0</v>
      </c>
      <c r="N430" s="6">
        <v>500000</v>
      </c>
    </row>
    <row r="431" spans="1:16" x14ac:dyDescent="0.2">
      <c r="A431" s="4" t="s">
        <v>14</v>
      </c>
      <c r="B431" s="4" t="s">
        <v>936</v>
      </c>
      <c r="C431" s="4">
        <v>43703</v>
      </c>
      <c r="D431" s="5">
        <v>45804</v>
      </c>
      <c r="E431" s="4">
        <v>901113791</v>
      </c>
      <c r="F431" s="4" t="s">
        <v>836</v>
      </c>
      <c r="G431" s="4">
        <v>901907732</v>
      </c>
      <c r="H431" s="4" t="s">
        <v>837</v>
      </c>
      <c r="I431" s="6">
        <v>171213</v>
      </c>
      <c r="J431" s="6">
        <v>0</v>
      </c>
      <c r="K431" s="6">
        <v>0</v>
      </c>
      <c r="L431" s="6">
        <v>12453</v>
      </c>
      <c r="M431" s="6">
        <v>0</v>
      </c>
      <c r="N431" s="6">
        <v>183666</v>
      </c>
    </row>
    <row r="432" spans="1:16" x14ac:dyDescent="0.2">
      <c r="A432" s="4" t="s">
        <v>14</v>
      </c>
      <c r="B432" s="4" t="s">
        <v>937</v>
      </c>
      <c r="C432" s="4">
        <v>1237</v>
      </c>
      <c r="D432" s="5">
        <v>45800</v>
      </c>
      <c r="E432" s="4">
        <v>93397337</v>
      </c>
      <c r="F432" s="4" t="s">
        <v>525</v>
      </c>
      <c r="G432" s="4">
        <v>901907732</v>
      </c>
      <c r="H432" s="4" t="s">
        <v>16</v>
      </c>
      <c r="I432" s="6">
        <v>300000</v>
      </c>
      <c r="J432" s="6">
        <v>0</v>
      </c>
      <c r="K432" s="6">
        <v>0</v>
      </c>
      <c r="L432" s="6">
        <v>0</v>
      </c>
      <c r="M432" s="6">
        <v>0</v>
      </c>
      <c r="N432" s="6">
        <v>300000</v>
      </c>
    </row>
    <row r="433" spans="1:15" x14ac:dyDescent="0.2">
      <c r="A433" s="4" t="s">
        <v>14</v>
      </c>
      <c r="B433" s="4" t="s">
        <v>938</v>
      </c>
      <c r="C433" s="4">
        <v>130489238</v>
      </c>
      <c r="D433" s="5">
        <v>45799</v>
      </c>
      <c r="E433" s="4">
        <v>830114921</v>
      </c>
      <c r="F433" s="4" t="s">
        <v>459</v>
      </c>
      <c r="G433" s="4">
        <v>901907732</v>
      </c>
      <c r="H433" s="4" t="s">
        <v>460</v>
      </c>
      <c r="I433" s="6">
        <v>90977.51</v>
      </c>
      <c r="J433" s="6">
        <v>17285.72</v>
      </c>
      <c r="K433" s="6">
        <v>0</v>
      </c>
      <c r="L433" s="6">
        <v>1716.77</v>
      </c>
      <c r="M433" s="6">
        <v>0</v>
      </c>
      <c r="N433" s="6">
        <v>109980</v>
      </c>
    </row>
    <row r="434" spans="1:15" x14ac:dyDescent="0.2">
      <c r="A434" s="4" t="s">
        <v>14</v>
      </c>
      <c r="B434" s="4" t="s">
        <v>939</v>
      </c>
      <c r="C434" s="4">
        <v>71428</v>
      </c>
      <c r="D434" s="5">
        <v>45799</v>
      </c>
      <c r="E434" s="4">
        <v>830085336</v>
      </c>
      <c r="F434" s="4" t="s">
        <v>449</v>
      </c>
      <c r="G434" s="4">
        <v>901907732</v>
      </c>
      <c r="H434" s="4" t="s">
        <v>450</v>
      </c>
      <c r="I434" s="6">
        <v>29411.770000000004</v>
      </c>
      <c r="J434" s="6">
        <v>5588.24</v>
      </c>
      <c r="K434" s="6">
        <v>0</v>
      </c>
      <c r="L434" s="6">
        <v>0</v>
      </c>
      <c r="M434" s="6">
        <v>0</v>
      </c>
      <c r="N434" s="6">
        <v>35000.01</v>
      </c>
    </row>
    <row r="435" spans="1:15" x14ac:dyDescent="0.2">
      <c r="A435" s="4" t="s">
        <v>14</v>
      </c>
      <c r="B435" s="4" t="s">
        <v>940</v>
      </c>
      <c r="C435" s="4">
        <v>130331700</v>
      </c>
      <c r="D435" s="5">
        <v>45799</v>
      </c>
      <c r="E435" s="4">
        <v>830114921</v>
      </c>
      <c r="F435" s="4" t="s">
        <v>459</v>
      </c>
      <c r="G435" s="4">
        <v>901907732</v>
      </c>
      <c r="H435" s="4" t="s">
        <v>464</v>
      </c>
      <c r="I435" s="6">
        <v>80677.58</v>
      </c>
      <c r="J435" s="6">
        <v>15328.76</v>
      </c>
      <c r="K435" s="6">
        <v>0</v>
      </c>
      <c r="L435" s="6">
        <v>1452.66</v>
      </c>
      <c r="M435" s="6">
        <v>0</v>
      </c>
      <c r="N435" s="6">
        <v>97459</v>
      </c>
    </row>
    <row r="436" spans="1:15" x14ac:dyDescent="0.2">
      <c r="A436" s="4" t="s">
        <v>14</v>
      </c>
      <c r="B436" s="4" t="s">
        <v>941</v>
      </c>
      <c r="C436" s="4">
        <v>538665</v>
      </c>
      <c r="D436" s="5">
        <v>45798</v>
      </c>
      <c r="E436" s="4">
        <v>800091549</v>
      </c>
      <c r="F436" s="4" t="s">
        <v>408</v>
      </c>
      <c r="G436" s="4">
        <v>901907732</v>
      </c>
      <c r="H436" s="4" t="s">
        <v>427</v>
      </c>
      <c r="I436" s="6">
        <v>1494839</v>
      </c>
      <c r="J436" s="6">
        <v>0</v>
      </c>
      <c r="K436" s="6">
        <v>0</v>
      </c>
      <c r="L436" s="6">
        <v>0</v>
      </c>
      <c r="M436" s="6">
        <v>0</v>
      </c>
      <c r="N436" s="6">
        <v>1494839</v>
      </c>
    </row>
    <row r="437" spans="1:15" x14ac:dyDescent="0.2">
      <c r="A437" s="4" t="s">
        <v>14</v>
      </c>
      <c r="B437" s="4" t="s">
        <v>942</v>
      </c>
      <c r="C437" s="4">
        <v>120219</v>
      </c>
      <c r="D437" s="5">
        <v>45796</v>
      </c>
      <c r="E437" s="4">
        <v>811000784</v>
      </c>
      <c r="F437" s="4" t="s">
        <v>456</v>
      </c>
      <c r="G437" s="4">
        <v>901907732</v>
      </c>
      <c r="H437" s="4" t="s">
        <v>457</v>
      </c>
      <c r="I437" s="6">
        <v>110084.03</v>
      </c>
      <c r="J437" s="6">
        <v>20915.97</v>
      </c>
      <c r="K437" s="6">
        <v>0</v>
      </c>
      <c r="L437" s="6">
        <v>0</v>
      </c>
      <c r="M437" s="6">
        <v>0</v>
      </c>
      <c r="N437" s="6">
        <v>131000</v>
      </c>
    </row>
    <row r="438" spans="1:15" x14ac:dyDescent="0.2">
      <c r="A438" s="4" t="s">
        <v>14</v>
      </c>
      <c r="B438" s="4" t="s">
        <v>943</v>
      </c>
      <c r="C438" s="4">
        <v>203778</v>
      </c>
      <c r="D438" s="5">
        <v>45796</v>
      </c>
      <c r="E438" s="4">
        <v>71388800</v>
      </c>
      <c r="F438" s="4" t="s">
        <v>944</v>
      </c>
      <c r="G438" s="4">
        <v>901907732</v>
      </c>
      <c r="H438" s="4" t="s">
        <v>16</v>
      </c>
      <c r="I438" s="6">
        <v>8403</v>
      </c>
      <c r="J438" s="6">
        <v>1597</v>
      </c>
      <c r="K438" s="6">
        <v>0</v>
      </c>
      <c r="L438" s="6">
        <v>0</v>
      </c>
      <c r="M438" s="6">
        <v>0</v>
      </c>
      <c r="N438" s="6">
        <v>10000</v>
      </c>
    </row>
    <row r="439" spans="1:15" x14ac:dyDescent="0.2">
      <c r="A439" s="4" t="s">
        <v>14</v>
      </c>
      <c r="B439" s="4" t="s">
        <v>945</v>
      </c>
      <c r="C439" s="4">
        <v>7609</v>
      </c>
      <c r="D439" s="5">
        <v>45792</v>
      </c>
      <c r="E439" s="4">
        <v>901476410</v>
      </c>
      <c r="F439" s="4" t="s">
        <v>473</v>
      </c>
      <c r="G439" s="4">
        <v>901907732</v>
      </c>
      <c r="H439" s="4" t="s">
        <v>16</v>
      </c>
      <c r="I439" s="6">
        <v>1180672</v>
      </c>
      <c r="J439" s="6">
        <v>224328</v>
      </c>
      <c r="K439" s="6">
        <v>0</v>
      </c>
      <c r="L439" s="6">
        <v>0</v>
      </c>
      <c r="M439" s="6">
        <v>0</v>
      </c>
      <c r="N439" s="6">
        <v>1405000</v>
      </c>
      <c r="O439" s="16">
        <f>+I439*2.5%</f>
        <v>29516.800000000003</v>
      </c>
    </row>
    <row r="440" spans="1:15" x14ac:dyDescent="0.2">
      <c r="A440" s="4" t="s">
        <v>14</v>
      </c>
      <c r="B440" s="4" t="s">
        <v>946</v>
      </c>
      <c r="C440" s="4">
        <v>158205</v>
      </c>
      <c r="D440" s="5">
        <v>45792</v>
      </c>
      <c r="E440" s="4">
        <v>900378652</v>
      </c>
      <c r="F440" s="4" t="s">
        <v>543</v>
      </c>
      <c r="G440" s="4">
        <v>901907732</v>
      </c>
      <c r="H440" s="4" t="s">
        <v>16</v>
      </c>
      <c r="I440" s="6">
        <v>181174.81</v>
      </c>
      <c r="J440" s="6">
        <v>34423.199999999997</v>
      </c>
      <c r="K440" s="6">
        <v>0</v>
      </c>
      <c r="L440" s="6">
        <v>0</v>
      </c>
      <c r="M440" s="6">
        <v>0</v>
      </c>
      <c r="N440" s="6">
        <v>215598.01</v>
      </c>
    </row>
    <row r="441" spans="1:15" x14ac:dyDescent="0.2">
      <c r="A441" s="4" t="s">
        <v>77</v>
      </c>
      <c r="B441" s="4" t="s">
        <v>947</v>
      </c>
      <c r="C441" s="4" t="s">
        <v>948</v>
      </c>
      <c r="D441" s="5">
        <v>45791</v>
      </c>
      <c r="E441" s="4">
        <v>900762275</v>
      </c>
      <c r="F441" s="4" t="s">
        <v>532</v>
      </c>
      <c r="G441" s="4">
        <v>901907732</v>
      </c>
      <c r="H441" s="4" t="s">
        <v>16</v>
      </c>
      <c r="I441" s="6">
        <v>-315000</v>
      </c>
      <c r="J441" s="6">
        <v>0</v>
      </c>
      <c r="K441" s="6">
        <v>0</v>
      </c>
      <c r="L441" s="6">
        <v>0</v>
      </c>
      <c r="M441" s="6">
        <v>0</v>
      </c>
      <c r="N441" s="6">
        <v>-315000</v>
      </c>
    </row>
    <row r="442" spans="1:15" x14ac:dyDescent="0.2">
      <c r="A442" s="4" t="s">
        <v>14</v>
      </c>
      <c r="B442" s="4" t="s">
        <v>949</v>
      </c>
      <c r="C442" s="4">
        <v>6517</v>
      </c>
      <c r="D442" s="5">
        <v>45791</v>
      </c>
      <c r="E442" s="4">
        <v>900762275</v>
      </c>
      <c r="F442" s="4" t="s">
        <v>532</v>
      </c>
      <c r="G442" s="4">
        <v>901907732</v>
      </c>
      <c r="H442" s="4" t="s">
        <v>16</v>
      </c>
      <c r="I442" s="6">
        <v>478830</v>
      </c>
      <c r="J442" s="6">
        <v>0</v>
      </c>
      <c r="K442" s="6">
        <v>0</v>
      </c>
      <c r="L442" s="6">
        <v>0</v>
      </c>
      <c r="M442" s="6">
        <v>0</v>
      </c>
      <c r="N442" s="6">
        <v>478830</v>
      </c>
    </row>
    <row r="443" spans="1:15" x14ac:dyDescent="0.2">
      <c r="A443" s="4" t="s">
        <v>14</v>
      </c>
      <c r="B443" s="4" t="s">
        <v>950</v>
      </c>
      <c r="C443" s="4">
        <v>6518</v>
      </c>
      <c r="D443" s="5">
        <v>45791</v>
      </c>
      <c r="E443" s="4">
        <v>900762275</v>
      </c>
      <c r="F443" s="4" t="s">
        <v>532</v>
      </c>
      <c r="G443" s="4">
        <v>901907732</v>
      </c>
      <c r="H443" s="4" t="s">
        <v>16</v>
      </c>
      <c r="I443" s="6">
        <v>481140</v>
      </c>
      <c r="J443" s="6">
        <v>0</v>
      </c>
      <c r="K443" s="6">
        <v>0</v>
      </c>
      <c r="L443" s="6">
        <v>0</v>
      </c>
      <c r="M443" s="6">
        <v>0</v>
      </c>
      <c r="N443" s="6">
        <v>481140</v>
      </c>
    </row>
    <row r="444" spans="1:15" x14ac:dyDescent="0.2">
      <c r="A444" s="4" t="s">
        <v>14</v>
      </c>
      <c r="B444" s="4" t="s">
        <v>951</v>
      </c>
      <c r="C444" s="4">
        <v>536671</v>
      </c>
      <c r="D444" s="5">
        <v>45790</v>
      </c>
      <c r="E444" s="4">
        <v>800091549</v>
      </c>
      <c r="F444" s="4" t="s">
        <v>408</v>
      </c>
      <c r="G444" s="4">
        <v>901907732</v>
      </c>
      <c r="H444" s="4" t="s">
        <v>427</v>
      </c>
      <c r="I444" s="6">
        <v>2062348</v>
      </c>
      <c r="J444" s="6">
        <v>0</v>
      </c>
      <c r="K444" s="6">
        <v>0</v>
      </c>
      <c r="L444" s="6">
        <v>0</v>
      </c>
      <c r="M444" s="6">
        <v>0</v>
      </c>
      <c r="N444" s="6">
        <v>2062348</v>
      </c>
    </row>
    <row r="445" spans="1:15" x14ac:dyDescent="0.2">
      <c r="A445" s="4" t="s">
        <v>14</v>
      </c>
      <c r="B445" s="4" t="s">
        <v>952</v>
      </c>
      <c r="C445" s="4">
        <v>3331860</v>
      </c>
      <c r="D445" s="5">
        <v>45790</v>
      </c>
      <c r="E445" s="4">
        <v>890905080</v>
      </c>
      <c r="F445" s="4" t="s">
        <v>722</v>
      </c>
      <c r="G445" s="4">
        <v>901907732</v>
      </c>
      <c r="H445" s="4" t="s">
        <v>16</v>
      </c>
      <c r="I445" s="6">
        <v>11600</v>
      </c>
      <c r="J445" s="6">
        <v>0</v>
      </c>
      <c r="K445" s="6">
        <v>0</v>
      </c>
      <c r="L445" s="6">
        <v>0</v>
      </c>
      <c r="M445" s="6">
        <v>0</v>
      </c>
      <c r="N445" s="6">
        <v>11600</v>
      </c>
    </row>
    <row r="446" spans="1:15" x14ac:dyDescent="0.2">
      <c r="A446" s="4" t="s">
        <v>14</v>
      </c>
      <c r="B446" s="4" t="s">
        <v>953</v>
      </c>
      <c r="C446" s="4">
        <v>536411</v>
      </c>
      <c r="D446" s="5">
        <v>45789</v>
      </c>
      <c r="E446" s="4">
        <v>800091549</v>
      </c>
      <c r="F446" s="4" t="s">
        <v>408</v>
      </c>
      <c r="G446" s="4">
        <v>901907732</v>
      </c>
      <c r="H446" s="4" t="s">
        <v>427</v>
      </c>
      <c r="I446" s="6">
        <v>2289008</v>
      </c>
      <c r="J446" s="6">
        <v>0</v>
      </c>
      <c r="K446" s="6">
        <v>0</v>
      </c>
      <c r="L446" s="6">
        <v>0</v>
      </c>
      <c r="M446" s="6">
        <v>0</v>
      </c>
      <c r="N446" s="6">
        <v>2289008</v>
      </c>
    </row>
    <row r="447" spans="1:15" x14ac:dyDescent="0.2">
      <c r="A447" s="4" t="s">
        <v>14</v>
      </c>
      <c r="B447" s="4" t="s">
        <v>954</v>
      </c>
      <c r="C447" s="4">
        <v>9621</v>
      </c>
      <c r="D447" s="5">
        <v>45789</v>
      </c>
      <c r="E447" s="4">
        <v>901098244</v>
      </c>
      <c r="F447" s="4" t="s">
        <v>595</v>
      </c>
      <c r="G447" s="4">
        <v>901907732</v>
      </c>
      <c r="H447" s="4" t="s">
        <v>16</v>
      </c>
      <c r="I447" s="6">
        <v>1200000</v>
      </c>
      <c r="J447" s="6">
        <v>228000</v>
      </c>
      <c r="K447" s="6">
        <v>0</v>
      </c>
      <c r="L447" s="6">
        <v>0</v>
      </c>
      <c r="M447" s="6">
        <v>0</v>
      </c>
      <c r="N447" s="6">
        <v>1428000</v>
      </c>
      <c r="O447" s="16">
        <f>+I447*3.5%</f>
        <v>42000.000000000007</v>
      </c>
    </row>
    <row r="448" spans="1:15" x14ac:dyDescent="0.2">
      <c r="A448" s="4" t="s">
        <v>14</v>
      </c>
      <c r="B448" s="4" t="s">
        <v>955</v>
      </c>
      <c r="C448" s="4">
        <v>536354</v>
      </c>
      <c r="D448" s="5">
        <v>45789</v>
      </c>
      <c r="E448" s="4">
        <v>800091549</v>
      </c>
      <c r="F448" s="4" t="s">
        <v>408</v>
      </c>
      <c r="G448" s="4">
        <v>901907732</v>
      </c>
      <c r="H448" s="4" t="s">
        <v>427</v>
      </c>
      <c r="I448" s="6">
        <v>507786</v>
      </c>
      <c r="J448" s="6">
        <v>0</v>
      </c>
      <c r="K448" s="6">
        <v>0</v>
      </c>
      <c r="L448" s="6">
        <v>0</v>
      </c>
      <c r="M448" s="6">
        <v>0</v>
      </c>
      <c r="N448" s="6">
        <v>507786</v>
      </c>
    </row>
    <row r="449" spans="1:16" x14ac:dyDescent="0.2">
      <c r="A449" s="4" t="s">
        <v>14</v>
      </c>
      <c r="B449" s="4" t="s">
        <v>956</v>
      </c>
      <c r="C449" s="4">
        <v>536203</v>
      </c>
      <c r="D449" s="5">
        <v>45789</v>
      </c>
      <c r="E449" s="4">
        <v>800091549</v>
      </c>
      <c r="F449" s="4" t="s">
        <v>408</v>
      </c>
      <c r="G449" s="4">
        <v>901907732</v>
      </c>
      <c r="H449" s="4" t="s">
        <v>427</v>
      </c>
      <c r="I449" s="6">
        <v>837270</v>
      </c>
      <c r="J449" s="6">
        <v>0</v>
      </c>
      <c r="K449" s="6">
        <v>0</v>
      </c>
      <c r="L449" s="6">
        <v>0</v>
      </c>
      <c r="M449" s="6">
        <v>0</v>
      </c>
      <c r="N449" s="6">
        <v>837270</v>
      </c>
    </row>
    <row r="450" spans="1:16" x14ac:dyDescent="0.2">
      <c r="A450" s="4" t="s">
        <v>14</v>
      </c>
      <c r="B450" s="4" t="s">
        <v>957</v>
      </c>
      <c r="C450" s="4">
        <v>536202</v>
      </c>
      <c r="D450" s="5">
        <v>45789</v>
      </c>
      <c r="E450" s="4">
        <v>800091549</v>
      </c>
      <c r="F450" s="4" t="s">
        <v>408</v>
      </c>
      <c r="G450" s="4">
        <v>901907732</v>
      </c>
      <c r="H450" s="4" t="s">
        <v>427</v>
      </c>
      <c r="I450" s="6">
        <v>793203</v>
      </c>
      <c r="J450" s="6">
        <v>0</v>
      </c>
      <c r="K450" s="6">
        <v>0</v>
      </c>
      <c r="L450" s="6">
        <v>0</v>
      </c>
      <c r="M450" s="6">
        <v>0</v>
      </c>
      <c r="N450" s="6">
        <v>793203</v>
      </c>
    </row>
    <row r="451" spans="1:16" x14ac:dyDescent="0.2">
      <c r="A451" s="4" t="s">
        <v>14</v>
      </c>
      <c r="B451" s="4" t="s">
        <v>958</v>
      </c>
      <c r="C451" s="4">
        <v>536201</v>
      </c>
      <c r="D451" s="5">
        <v>45789</v>
      </c>
      <c r="E451" s="4">
        <v>800091549</v>
      </c>
      <c r="F451" s="4" t="s">
        <v>408</v>
      </c>
      <c r="G451" s="4">
        <v>901907732</v>
      </c>
      <c r="H451" s="4" t="s">
        <v>427</v>
      </c>
      <c r="I451" s="6">
        <v>468166</v>
      </c>
      <c r="J451" s="6">
        <v>0</v>
      </c>
      <c r="K451" s="6">
        <v>0</v>
      </c>
      <c r="L451" s="6">
        <v>0</v>
      </c>
      <c r="M451" s="6">
        <v>0</v>
      </c>
      <c r="N451" s="6">
        <v>468166</v>
      </c>
    </row>
    <row r="452" spans="1:16" x14ac:dyDescent="0.2">
      <c r="A452" s="4" t="s">
        <v>14</v>
      </c>
      <c r="B452" s="4" t="s">
        <v>959</v>
      </c>
      <c r="C452" s="4">
        <v>536200</v>
      </c>
      <c r="D452" s="5">
        <v>45789</v>
      </c>
      <c r="E452" s="4">
        <v>800091549</v>
      </c>
      <c r="F452" s="4" t="s">
        <v>408</v>
      </c>
      <c r="G452" s="4">
        <v>901907732</v>
      </c>
      <c r="H452" s="4" t="s">
        <v>427</v>
      </c>
      <c r="I452" s="6">
        <v>327152</v>
      </c>
      <c r="J452" s="6">
        <v>0</v>
      </c>
      <c r="K452" s="6">
        <v>0</v>
      </c>
      <c r="L452" s="6">
        <v>0</v>
      </c>
      <c r="M452" s="6">
        <v>0</v>
      </c>
      <c r="N452" s="6">
        <v>327152</v>
      </c>
    </row>
    <row r="453" spans="1:16" x14ac:dyDescent="0.2">
      <c r="A453" s="4" t="s">
        <v>14</v>
      </c>
      <c r="B453" s="4" t="s">
        <v>960</v>
      </c>
      <c r="C453" s="4">
        <v>536199</v>
      </c>
      <c r="D453" s="5">
        <v>45789</v>
      </c>
      <c r="E453" s="4">
        <v>800091549</v>
      </c>
      <c r="F453" s="4" t="s">
        <v>408</v>
      </c>
      <c r="G453" s="4">
        <v>901907732</v>
      </c>
      <c r="H453" s="4" t="s">
        <v>427</v>
      </c>
      <c r="I453" s="6">
        <v>890595</v>
      </c>
      <c r="J453" s="6">
        <v>0</v>
      </c>
      <c r="K453" s="6">
        <v>0</v>
      </c>
      <c r="L453" s="6">
        <v>0</v>
      </c>
      <c r="M453" s="6">
        <v>0</v>
      </c>
      <c r="N453" s="6">
        <v>890595</v>
      </c>
    </row>
    <row r="454" spans="1:16" x14ac:dyDescent="0.2">
      <c r="A454" s="4" t="s">
        <v>14</v>
      </c>
      <c r="B454" s="4" t="s">
        <v>961</v>
      </c>
      <c r="C454" s="4">
        <v>536197</v>
      </c>
      <c r="D454" s="5">
        <v>45789</v>
      </c>
      <c r="E454" s="4">
        <v>800091549</v>
      </c>
      <c r="F454" s="4" t="s">
        <v>408</v>
      </c>
      <c r="G454" s="4">
        <v>901907732</v>
      </c>
      <c r="H454" s="4" t="s">
        <v>427</v>
      </c>
      <c r="I454" s="6">
        <v>366926</v>
      </c>
      <c r="J454" s="6">
        <v>0</v>
      </c>
      <c r="K454" s="6">
        <v>0</v>
      </c>
      <c r="L454" s="6">
        <v>0</v>
      </c>
      <c r="M454" s="6">
        <v>0</v>
      </c>
      <c r="N454" s="6">
        <v>366926</v>
      </c>
    </row>
    <row r="455" spans="1:16" x14ac:dyDescent="0.2">
      <c r="A455" s="4" t="s">
        <v>14</v>
      </c>
      <c r="B455" s="4" t="s">
        <v>962</v>
      </c>
      <c r="C455" s="4">
        <v>536195</v>
      </c>
      <c r="D455" s="5">
        <v>45789</v>
      </c>
      <c r="E455" s="4">
        <v>800091549</v>
      </c>
      <c r="F455" s="4" t="s">
        <v>408</v>
      </c>
      <c r="G455" s="4">
        <v>901907732</v>
      </c>
      <c r="H455" s="4" t="s">
        <v>427</v>
      </c>
      <c r="I455" s="6">
        <v>252958</v>
      </c>
      <c r="J455" s="6">
        <v>0</v>
      </c>
      <c r="K455" s="6">
        <v>0</v>
      </c>
      <c r="L455" s="6">
        <v>0</v>
      </c>
      <c r="M455" s="6">
        <v>0</v>
      </c>
      <c r="N455" s="6">
        <v>252958</v>
      </c>
    </row>
    <row r="456" spans="1:16" x14ac:dyDescent="0.2">
      <c r="A456" s="4" t="s">
        <v>14</v>
      </c>
      <c r="B456" s="4" t="s">
        <v>963</v>
      </c>
      <c r="C456" s="4">
        <v>536194</v>
      </c>
      <c r="D456" s="5">
        <v>45789</v>
      </c>
      <c r="E456" s="4">
        <v>800091549</v>
      </c>
      <c r="F456" s="4" t="s">
        <v>408</v>
      </c>
      <c r="G456" s="4">
        <v>901907732</v>
      </c>
      <c r="H456" s="4" t="s">
        <v>427</v>
      </c>
      <c r="I456" s="6">
        <v>604934</v>
      </c>
      <c r="J456" s="6">
        <v>0</v>
      </c>
      <c r="K456" s="6">
        <v>0</v>
      </c>
      <c r="L456" s="6">
        <v>0</v>
      </c>
      <c r="M456" s="6">
        <v>0</v>
      </c>
      <c r="N456" s="6">
        <v>604934</v>
      </c>
    </row>
    <row r="457" spans="1:16" x14ac:dyDescent="0.2">
      <c r="A457" s="4" t="s">
        <v>14</v>
      </c>
      <c r="B457" s="4" t="s">
        <v>964</v>
      </c>
      <c r="C457" s="4">
        <v>536193</v>
      </c>
      <c r="D457" s="5">
        <v>45789</v>
      </c>
      <c r="E457" s="4">
        <v>800091549</v>
      </c>
      <c r="F457" s="4" t="s">
        <v>408</v>
      </c>
      <c r="G457" s="4">
        <v>901907732</v>
      </c>
      <c r="H457" s="4" t="s">
        <v>427</v>
      </c>
      <c r="I457" s="6">
        <v>900727</v>
      </c>
      <c r="J457" s="6">
        <v>0</v>
      </c>
      <c r="K457" s="6">
        <v>0</v>
      </c>
      <c r="L457" s="6">
        <v>0</v>
      </c>
      <c r="M457" s="6">
        <v>0</v>
      </c>
      <c r="N457" s="6">
        <v>900727</v>
      </c>
    </row>
    <row r="458" spans="1:16" x14ac:dyDescent="0.2">
      <c r="A458" s="4" t="s">
        <v>14</v>
      </c>
      <c r="B458" s="4" t="s">
        <v>965</v>
      </c>
      <c r="C458" s="4">
        <v>536191</v>
      </c>
      <c r="D458" s="5">
        <v>45789</v>
      </c>
      <c r="E458" s="4">
        <v>800091549</v>
      </c>
      <c r="F458" s="4" t="s">
        <v>408</v>
      </c>
      <c r="G458" s="4">
        <v>901907732</v>
      </c>
      <c r="H458" s="4" t="s">
        <v>427</v>
      </c>
      <c r="I458" s="6">
        <v>141014</v>
      </c>
      <c r="J458" s="6">
        <v>0</v>
      </c>
      <c r="K458" s="6">
        <v>0</v>
      </c>
      <c r="L458" s="6">
        <v>0</v>
      </c>
      <c r="M458" s="6">
        <v>0</v>
      </c>
      <c r="N458" s="6">
        <v>141014</v>
      </c>
    </row>
    <row r="459" spans="1:16" x14ac:dyDescent="0.2">
      <c r="A459" s="4" t="s">
        <v>14</v>
      </c>
      <c r="B459" s="4" t="s">
        <v>966</v>
      </c>
      <c r="C459" s="4">
        <v>536190</v>
      </c>
      <c r="D459" s="5">
        <v>45789</v>
      </c>
      <c r="E459" s="4">
        <v>800091549</v>
      </c>
      <c r="F459" s="4" t="s">
        <v>408</v>
      </c>
      <c r="G459" s="4">
        <v>901907732</v>
      </c>
      <c r="H459" s="4" t="s">
        <v>427</v>
      </c>
      <c r="I459" s="6">
        <v>1710056</v>
      </c>
      <c r="J459" s="6">
        <v>0</v>
      </c>
      <c r="K459" s="6">
        <v>0</v>
      </c>
      <c r="L459" s="6">
        <v>0</v>
      </c>
      <c r="M459" s="6">
        <v>0</v>
      </c>
      <c r="N459" s="6">
        <v>1710056</v>
      </c>
    </row>
    <row r="460" spans="1:16" x14ac:dyDescent="0.2">
      <c r="A460" s="4" t="s">
        <v>784</v>
      </c>
      <c r="B460" s="4" t="s">
        <v>967</v>
      </c>
      <c r="C460" s="4">
        <v>51208</v>
      </c>
      <c r="D460" s="5">
        <v>45787</v>
      </c>
      <c r="E460" s="4">
        <v>901606621</v>
      </c>
      <c r="F460" s="4" t="s">
        <v>968</v>
      </c>
      <c r="G460" s="4">
        <v>901907732</v>
      </c>
      <c r="H460" s="4" t="s">
        <v>16</v>
      </c>
      <c r="I460" s="6">
        <v>46050.400000000001</v>
      </c>
      <c r="J460" s="6">
        <v>8749.58</v>
      </c>
      <c r="K460" s="6">
        <v>0</v>
      </c>
      <c r="L460" s="6">
        <v>0</v>
      </c>
      <c r="M460" s="6">
        <v>0</v>
      </c>
      <c r="N460" s="6">
        <v>54799.98</v>
      </c>
    </row>
    <row r="461" spans="1:16" x14ac:dyDescent="0.2">
      <c r="A461" s="4" t="s">
        <v>14</v>
      </c>
      <c r="B461" s="4" t="s">
        <v>969</v>
      </c>
      <c r="C461" s="4">
        <v>1232</v>
      </c>
      <c r="D461" s="5">
        <v>45786</v>
      </c>
      <c r="E461" s="4">
        <v>93397337</v>
      </c>
      <c r="F461" s="4" t="s">
        <v>525</v>
      </c>
      <c r="G461" s="4">
        <v>901907732</v>
      </c>
      <c r="H461" s="4" t="s">
        <v>16</v>
      </c>
      <c r="I461" s="6">
        <v>300000</v>
      </c>
      <c r="J461" s="6">
        <v>0</v>
      </c>
      <c r="K461" s="6">
        <v>0</v>
      </c>
      <c r="L461" s="6">
        <v>0</v>
      </c>
      <c r="M461" s="6">
        <v>0</v>
      </c>
      <c r="N461" s="6">
        <v>300000</v>
      </c>
    </row>
    <row r="462" spans="1:16" x14ac:dyDescent="0.2">
      <c r="A462" s="4" t="s">
        <v>14</v>
      </c>
      <c r="B462" s="4" t="s">
        <v>970</v>
      </c>
      <c r="C462" s="4">
        <v>24084</v>
      </c>
      <c r="D462" s="5">
        <v>45785</v>
      </c>
      <c r="E462" s="4">
        <v>901606621</v>
      </c>
      <c r="F462" s="4" t="s">
        <v>968</v>
      </c>
      <c r="G462" s="4">
        <v>901907732</v>
      </c>
      <c r="H462" s="4" t="s">
        <v>16</v>
      </c>
      <c r="I462" s="6">
        <v>117647</v>
      </c>
      <c r="J462" s="6">
        <v>22352.93</v>
      </c>
      <c r="K462" s="6">
        <v>0</v>
      </c>
      <c r="L462" s="6">
        <v>0</v>
      </c>
      <c r="M462" s="6">
        <v>0</v>
      </c>
      <c r="N462" s="6">
        <v>139999.93</v>
      </c>
    </row>
    <row r="463" spans="1:16" x14ac:dyDescent="0.2">
      <c r="A463" s="4" t="s">
        <v>14</v>
      </c>
      <c r="B463" s="4" t="s">
        <v>971</v>
      </c>
      <c r="C463" s="4">
        <v>7405</v>
      </c>
      <c r="D463" s="5">
        <v>45784</v>
      </c>
      <c r="E463" s="4">
        <v>901476410</v>
      </c>
      <c r="F463" s="4" t="s">
        <v>473</v>
      </c>
      <c r="G463" s="4">
        <v>901907732</v>
      </c>
      <c r="H463" s="4" t="s">
        <v>16</v>
      </c>
      <c r="I463" s="6">
        <v>1700000</v>
      </c>
      <c r="J463" s="6">
        <v>0</v>
      </c>
      <c r="K463" s="6">
        <v>0</v>
      </c>
      <c r="L463" s="6">
        <v>0</v>
      </c>
      <c r="M463" s="6">
        <v>0</v>
      </c>
      <c r="N463" s="6">
        <v>1700000</v>
      </c>
      <c r="O463" s="16">
        <f>+I463*2.5%</f>
        <v>42500</v>
      </c>
    </row>
    <row r="464" spans="1:16" x14ac:dyDescent="0.2">
      <c r="A464" s="4" t="s">
        <v>14</v>
      </c>
      <c r="B464" s="4" t="s">
        <v>972</v>
      </c>
      <c r="C464" s="4">
        <v>2014</v>
      </c>
      <c r="D464" s="5">
        <v>45779</v>
      </c>
      <c r="E464" s="4">
        <v>3486666</v>
      </c>
      <c r="F464" s="4" t="s">
        <v>437</v>
      </c>
      <c r="G464" s="4">
        <v>901907732</v>
      </c>
      <c r="H464" s="4" t="s">
        <v>16</v>
      </c>
      <c r="I464" s="6">
        <v>993500</v>
      </c>
      <c r="J464" s="6">
        <v>0</v>
      </c>
      <c r="K464" s="6">
        <v>0</v>
      </c>
      <c r="L464" s="6">
        <v>0</v>
      </c>
      <c r="M464" s="6">
        <v>0</v>
      </c>
      <c r="N464" s="6">
        <v>993500</v>
      </c>
      <c r="P464" s="7">
        <f>+I464*3.5%</f>
        <v>34772.5</v>
      </c>
    </row>
    <row r="465" spans="1:15" x14ac:dyDescent="0.2">
      <c r="A465" s="4" t="s">
        <v>14</v>
      </c>
      <c r="B465" s="4" t="s">
        <v>973</v>
      </c>
      <c r="C465" s="4">
        <v>1230</v>
      </c>
      <c r="D465" s="5">
        <v>45779</v>
      </c>
      <c r="E465" s="4">
        <v>93397337</v>
      </c>
      <c r="F465" s="4" t="s">
        <v>525</v>
      </c>
      <c r="G465" s="4">
        <v>901907732</v>
      </c>
      <c r="H465" s="4" t="s">
        <v>16</v>
      </c>
      <c r="I465" s="6">
        <v>200000</v>
      </c>
      <c r="J465" s="6">
        <v>0</v>
      </c>
      <c r="K465" s="6">
        <v>0</v>
      </c>
      <c r="L465" s="6">
        <v>0</v>
      </c>
      <c r="M465" s="6">
        <v>0</v>
      </c>
      <c r="N465" s="6">
        <v>200000</v>
      </c>
    </row>
    <row r="466" spans="1:15" x14ac:dyDescent="0.2">
      <c r="A466" s="4" t="s">
        <v>14</v>
      </c>
      <c r="B466" s="4" t="s">
        <v>974</v>
      </c>
      <c r="C466" s="4">
        <v>7234</v>
      </c>
      <c r="D466" s="5">
        <v>45777</v>
      </c>
      <c r="E466" s="4">
        <v>901476410</v>
      </c>
      <c r="F466" s="4" t="s">
        <v>473</v>
      </c>
      <c r="G466" s="4">
        <v>901907732</v>
      </c>
      <c r="H466" s="4" t="s">
        <v>16</v>
      </c>
      <c r="I466" s="6">
        <v>390000</v>
      </c>
      <c r="J466" s="6">
        <v>0</v>
      </c>
      <c r="K466" s="6">
        <v>0</v>
      </c>
      <c r="L466" s="6">
        <v>0</v>
      </c>
      <c r="M466" s="6">
        <v>0</v>
      </c>
      <c r="N466" s="6">
        <v>390000</v>
      </c>
      <c r="O466" s="16">
        <f>+I466*2.5%</f>
        <v>9750</v>
      </c>
    </row>
    <row r="467" spans="1:15" x14ac:dyDescent="0.2">
      <c r="A467" s="4" t="s">
        <v>14</v>
      </c>
      <c r="B467" s="4" t="s">
        <v>975</v>
      </c>
      <c r="C467" s="4">
        <v>167312</v>
      </c>
      <c r="D467" s="5">
        <v>45776</v>
      </c>
      <c r="E467" s="4">
        <v>901192317</v>
      </c>
      <c r="F467" s="4" t="s">
        <v>492</v>
      </c>
      <c r="G467" s="4">
        <v>901907732</v>
      </c>
      <c r="H467" s="4" t="s">
        <v>16</v>
      </c>
      <c r="I467" s="6">
        <v>388913.44</v>
      </c>
      <c r="J467" s="6">
        <v>73894</v>
      </c>
      <c r="K467" s="6">
        <v>0</v>
      </c>
      <c r="L467" s="6">
        <v>0</v>
      </c>
      <c r="M467" s="6">
        <v>0</v>
      </c>
      <c r="N467" s="6">
        <v>462807.44</v>
      </c>
    </row>
    <row r="468" spans="1:15" x14ac:dyDescent="0.2">
      <c r="A468" s="4" t="s">
        <v>14</v>
      </c>
      <c r="B468" s="4" t="s">
        <v>976</v>
      </c>
      <c r="C468" s="4">
        <v>70465</v>
      </c>
      <c r="D468" s="5">
        <v>45776</v>
      </c>
      <c r="E468" s="4">
        <v>830085336</v>
      </c>
      <c r="F468" s="4" t="s">
        <v>449</v>
      </c>
      <c r="G468" s="4">
        <v>901907732</v>
      </c>
      <c r="H468" s="4" t="s">
        <v>450</v>
      </c>
      <c r="I468" s="6">
        <v>42016.81</v>
      </c>
      <c r="J468" s="6">
        <v>7983.19</v>
      </c>
      <c r="K468" s="6">
        <v>0</v>
      </c>
      <c r="L468" s="6">
        <v>0</v>
      </c>
      <c r="M468" s="6">
        <v>0</v>
      </c>
      <c r="N468" s="6">
        <v>50000</v>
      </c>
    </row>
    <row r="469" spans="1:15" x14ac:dyDescent="0.2">
      <c r="A469" s="4" t="s">
        <v>14</v>
      </c>
      <c r="B469" s="4" t="s">
        <v>977</v>
      </c>
      <c r="C469" s="4">
        <v>167111</v>
      </c>
      <c r="D469" s="5">
        <v>45775</v>
      </c>
      <c r="E469" s="4">
        <v>901192317</v>
      </c>
      <c r="F469" s="4" t="s">
        <v>492</v>
      </c>
      <c r="G469" s="4">
        <v>901907732</v>
      </c>
      <c r="H469" s="4" t="s">
        <v>16</v>
      </c>
      <c r="I469" s="6">
        <v>2091362.1400000001</v>
      </c>
      <c r="J469" s="6">
        <v>397359</v>
      </c>
      <c r="K469" s="6">
        <v>0</v>
      </c>
      <c r="L469" s="6">
        <v>0</v>
      </c>
      <c r="M469" s="6">
        <v>0</v>
      </c>
      <c r="N469" s="6">
        <v>2488721.14</v>
      </c>
      <c r="O469" s="16">
        <f>+I469*2.5%</f>
        <v>52284.053500000009</v>
      </c>
    </row>
    <row r="470" spans="1:15" x14ac:dyDescent="0.2">
      <c r="A470" s="4" t="s">
        <v>14</v>
      </c>
      <c r="B470" s="4" t="s">
        <v>978</v>
      </c>
      <c r="C470" s="4">
        <v>532747</v>
      </c>
      <c r="D470" s="5">
        <v>45775</v>
      </c>
      <c r="E470" s="4">
        <v>800091549</v>
      </c>
      <c r="F470" s="4" t="s">
        <v>408</v>
      </c>
      <c r="G470" s="4">
        <v>901907732</v>
      </c>
      <c r="H470" s="4" t="s">
        <v>427</v>
      </c>
      <c r="I470" s="6">
        <v>1068363</v>
      </c>
      <c r="J470" s="6">
        <v>0</v>
      </c>
      <c r="K470" s="6">
        <v>0</v>
      </c>
      <c r="L470" s="6">
        <v>0</v>
      </c>
      <c r="M470" s="6">
        <v>0</v>
      </c>
      <c r="N470" s="6">
        <v>1068363</v>
      </c>
    </row>
    <row r="471" spans="1:15" x14ac:dyDescent="0.2">
      <c r="A471" s="4" t="s">
        <v>14</v>
      </c>
      <c r="B471" s="4" t="s">
        <v>979</v>
      </c>
      <c r="C471" s="4">
        <v>42511</v>
      </c>
      <c r="D471" s="5">
        <v>45773</v>
      </c>
      <c r="E471" s="4">
        <v>901784030</v>
      </c>
      <c r="F471" s="4" t="s">
        <v>786</v>
      </c>
      <c r="G471" s="4">
        <v>901907732</v>
      </c>
      <c r="H471" s="4" t="s">
        <v>16</v>
      </c>
      <c r="I471" s="6">
        <v>55462.96</v>
      </c>
      <c r="J471" s="6">
        <v>0</v>
      </c>
      <c r="K471" s="6">
        <v>0</v>
      </c>
      <c r="L471" s="6">
        <v>4437.04</v>
      </c>
      <c r="M471" s="6">
        <v>0</v>
      </c>
      <c r="N471" s="6">
        <v>59900</v>
      </c>
    </row>
    <row r="472" spans="1:15" x14ac:dyDescent="0.2">
      <c r="A472" s="4" t="s">
        <v>14</v>
      </c>
      <c r="B472" s="4" t="s">
        <v>980</v>
      </c>
      <c r="C472" s="4">
        <v>1229</v>
      </c>
      <c r="D472" s="5">
        <v>45773</v>
      </c>
      <c r="E472" s="4">
        <v>93397337</v>
      </c>
      <c r="F472" s="4" t="s">
        <v>525</v>
      </c>
      <c r="G472" s="4">
        <v>901907732</v>
      </c>
      <c r="H472" s="4" t="s">
        <v>16</v>
      </c>
      <c r="I472" s="6">
        <v>100000</v>
      </c>
      <c r="J472" s="6">
        <v>0</v>
      </c>
      <c r="K472" s="6">
        <v>0</v>
      </c>
      <c r="L472" s="6">
        <v>0</v>
      </c>
      <c r="M472" s="6">
        <v>0</v>
      </c>
      <c r="N472" s="6">
        <v>100000</v>
      </c>
    </row>
    <row r="473" spans="1:15" x14ac:dyDescent="0.2">
      <c r="A473" s="4" t="s">
        <v>14</v>
      </c>
      <c r="B473" s="4" t="s">
        <v>981</v>
      </c>
      <c r="C473" s="4">
        <v>1228</v>
      </c>
      <c r="D473" s="5">
        <v>45773</v>
      </c>
      <c r="E473" s="4">
        <v>93397337</v>
      </c>
      <c r="F473" s="4" t="s">
        <v>525</v>
      </c>
      <c r="G473" s="4">
        <v>901907732</v>
      </c>
      <c r="H473" s="4" t="s">
        <v>16</v>
      </c>
      <c r="I473" s="6">
        <v>200000</v>
      </c>
      <c r="J473" s="6">
        <v>0</v>
      </c>
      <c r="K473" s="6">
        <v>0</v>
      </c>
      <c r="L473" s="6">
        <v>0</v>
      </c>
      <c r="M473" s="6">
        <v>0</v>
      </c>
      <c r="N473" s="6">
        <v>200000</v>
      </c>
    </row>
    <row r="474" spans="1:15" x14ac:dyDescent="0.2">
      <c r="A474" s="4" t="s">
        <v>14</v>
      </c>
      <c r="B474" s="4" t="s">
        <v>982</v>
      </c>
      <c r="C474" s="4">
        <v>7116</v>
      </c>
      <c r="D474" s="5">
        <v>45772</v>
      </c>
      <c r="E474" s="4">
        <v>901476410</v>
      </c>
      <c r="F474" s="4" t="s">
        <v>473</v>
      </c>
      <c r="G474" s="4">
        <v>901907732</v>
      </c>
      <c r="H474" s="4" t="s">
        <v>16</v>
      </c>
      <c r="I474" s="6">
        <v>3288328</v>
      </c>
      <c r="J474" s="6">
        <v>554672</v>
      </c>
      <c r="K474" s="6">
        <v>0</v>
      </c>
      <c r="L474" s="6">
        <v>0</v>
      </c>
      <c r="M474" s="6">
        <v>0</v>
      </c>
      <c r="N474" s="6">
        <v>3843000</v>
      </c>
      <c r="O474" s="16">
        <f>+I474*2.5%</f>
        <v>82208.200000000012</v>
      </c>
    </row>
    <row r="475" spans="1:15" x14ac:dyDescent="0.2">
      <c r="A475" s="4" t="s">
        <v>14</v>
      </c>
      <c r="B475" s="4" t="s">
        <v>983</v>
      </c>
      <c r="C475" s="4">
        <v>531264</v>
      </c>
      <c r="D475" s="5">
        <v>45768</v>
      </c>
      <c r="E475" s="4">
        <v>800091549</v>
      </c>
      <c r="F475" s="4" t="s">
        <v>408</v>
      </c>
      <c r="G475" s="4">
        <v>901907732</v>
      </c>
      <c r="H475" s="4" t="s">
        <v>427</v>
      </c>
      <c r="I475" s="6">
        <v>1437415</v>
      </c>
      <c r="J475" s="6">
        <v>0</v>
      </c>
      <c r="K475" s="6">
        <v>0</v>
      </c>
      <c r="L475" s="6">
        <v>0</v>
      </c>
      <c r="M475" s="6">
        <v>0</v>
      </c>
      <c r="N475" s="6">
        <v>1437415</v>
      </c>
    </row>
    <row r="476" spans="1:15" x14ac:dyDescent="0.2">
      <c r="A476" s="4" t="s">
        <v>14</v>
      </c>
      <c r="B476" s="4" t="s">
        <v>984</v>
      </c>
      <c r="C476" s="4">
        <v>154665</v>
      </c>
      <c r="D476" s="5">
        <v>45768</v>
      </c>
      <c r="E476" s="4">
        <v>890901352</v>
      </c>
      <c r="F476" s="4" t="s">
        <v>985</v>
      </c>
      <c r="G476" s="4">
        <v>901907732</v>
      </c>
      <c r="H476" s="4" t="s">
        <v>16</v>
      </c>
      <c r="I476" s="6">
        <v>321600</v>
      </c>
      <c r="J476" s="6">
        <v>0</v>
      </c>
      <c r="K476" s="6">
        <v>0</v>
      </c>
      <c r="L476" s="6">
        <v>0</v>
      </c>
      <c r="M476" s="6">
        <v>0</v>
      </c>
      <c r="N476" s="6">
        <v>321600</v>
      </c>
    </row>
    <row r="477" spans="1:15" x14ac:dyDescent="0.2">
      <c r="A477" s="4" t="s">
        <v>14</v>
      </c>
      <c r="B477" s="4" t="s">
        <v>986</v>
      </c>
      <c r="C477" s="4">
        <v>107918</v>
      </c>
      <c r="D477" s="5">
        <v>45762</v>
      </c>
      <c r="E477" s="4">
        <v>811000784</v>
      </c>
      <c r="F477" s="4" t="s">
        <v>456</v>
      </c>
      <c r="G477" s="4">
        <v>901907732</v>
      </c>
      <c r="H477" s="4" t="s">
        <v>987</v>
      </c>
      <c r="I477" s="6">
        <v>110084.03</v>
      </c>
      <c r="J477" s="6">
        <v>20915.97</v>
      </c>
      <c r="K477" s="6">
        <v>0</v>
      </c>
      <c r="L477" s="6">
        <v>0</v>
      </c>
      <c r="M477" s="6">
        <v>0</v>
      </c>
      <c r="N477" s="6">
        <v>131000</v>
      </c>
    </row>
    <row r="478" spans="1:15" x14ac:dyDescent="0.2">
      <c r="A478" s="4" t="s">
        <v>14</v>
      </c>
      <c r="B478" s="4" t="s">
        <v>988</v>
      </c>
      <c r="C478" s="4">
        <v>530659</v>
      </c>
      <c r="D478" s="5">
        <v>45762</v>
      </c>
      <c r="E478" s="4">
        <v>800091549</v>
      </c>
      <c r="F478" s="4" t="s">
        <v>408</v>
      </c>
      <c r="G478" s="4">
        <v>901907732</v>
      </c>
      <c r="H478" s="4" t="s">
        <v>427</v>
      </c>
      <c r="I478" s="6">
        <v>19733503</v>
      </c>
      <c r="J478" s="6">
        <v>0</v>
      </c>
      <c r="K478" s="6">
        <v>0</v>
      </c>
      <c r="L478" s="6">
        <v>0</v>
      </c>
      <c r="M478" s="6">
        <v>0</v>
      </c>
      <c r="N478" s="6">
        <v>19733503</v>
      </c>
    </row>
    <row r="479" spans="1:15" x14ac:dyDescent="0.2">
      <c r="A479" s="4" t="s">
        <v>14</v>
      </c>
      <c r="B479" s="4" t="s">
        <v>989</v>
      </c>
      <c r="C479" s="4">
        <v>530432</v>
      </c>
      <c r="D479" s="5">
        <v>45761</v>
      </c>
      <c r="E479" s="4">
        <v>800091549</v>
      </c>
      <c r="F479" s="4" t="s">
        <v>408</v>
      </c>
      <c r="G479" s="4">
        <v>901907732</v>
      </c>
      <c r="H479" s="4" t="s">
        <v>427</v>
      </c>
      <c r="I479" s="6">
        <v>911420</v>
      </c>
      <c r="J479" s="6">
        <v>0</v>
      </c>
      <c r="K479" s="6">
        <v>0</v>
      </c>
      <c r="L479" s="6">
        <v>0</v>
      </c>
      <c r="M479" s="6">
        <v>0</v>
      </c>
      <c r="N479" s="6">
        <v>911420</v>
      </c>
    </row>
    <row r="480" spans="1:15" x14ac:dyDescent="0.2">
      <c r="A480" s="4" t="s">
        <v>14</v>
      </c>
      <c r="B480" s="4" t="s">
        <v>990</v>
      </c>
      <c r="C480" s="4">
        <v>27799</v>
      </c>
      <c r="D480" s="5">
        <v>45759</v>
      </c>
      <c r="E480" s="4">
        <v>901784030</v>
      </c>
      <c r="F480" s="4" t="s">
        <v>786</v>
      </c>
      <c r="G480" s="4">
        <v>901907732</v>
      </c>
      <c r="H480" s="4" t="s">
        <v>991</v>
      </c>
      <c r="I480" s="6">
        <v>52222.22</v>
      </c>
      <c r="J480" s="6">
        <v>0</v>
      </c>
      <c r="K480" s="6">
        <v>0</v>
      </c>
      <c r="L480" s="6">
        <v>4177.78</v>
      </c>
      <c r="M480" s="6">
        <v>0</v>
      </c>
      <c r="N480" s="6">
        <v>56400</v>
      </c>
    </row>
    <row r="481" spans="1:15" x14ac:dyDescent="0.2">
      <c r="A481" s="4" t="s">
        <v>14</v>
      </c>
      <c r="B481" s="4" t="s">
        <v>992</v>
      </c>
      <c r="C481" s="4">
        <v>38649</v>
      </c>
      <c r="D481" s="5">
        <v>45759</v>
      </c>
      <c r="E481" s="4">
        <v>901476410</v>
      </c>
      <c r="F481" s="4" t="s">
        <v>473</v>
      </c>
      <c r="G481" s="4">
        <v>901907732</v>
      </c>
      <c r="H481" s="4" t="s">
        <v>16</v>
      </c>
      <c r="I481" s="6">
        <v>1739412</v>
      </c>
      <c r="J481" s="6">
        <v>330488</v>
      </c>
      <c r="K481" s="6">
        <v>0</v>
      </c>
      <c r="L481" s="6">
        <v>0</v>
      </c>
      <c r="M481" s="6">
        <v>0</v>
      </c>
      <c r="N481" s="6">
        <v>2069900</v>
      </c>
      <c r="O481" s="16">
        <f>+I481*2.5%</f>
        <v>43485.3</v>
      </c>
    </row>
    <row r="482" spans="1:15" x14ac:dyDescent="0.2">
      <c r="A482" s="4" t="s">
        <v>14</v>
      </c>
      <c r="B482" s="4" t="s">
        <v>993</v>
      </c>
      <c r="C482" s="4">
        <v>1226</v>
      </c>
      <c r="D482" s="5">
        <v>45758</v>
      </c>
      <c r="E482" s="4">
        <v>93397337</v>
      </c>
      <c r="F482" s="4" t="s">
        <v>525</v>
      </c>
      <c r="G482" s="4">
        <v>901907732</v>
      </c>
      <c r="H482" s="4" t="s">
        <v>16</v>
      </c>
      <c r="I482" s="6">
        <v>300000</v>
      </c>
      <c r="J482" s="6">
        <v>0</v>
      </c>
      <c r="K482" s="6">
        <v>0</v>
      </c>
      <c r="L482" s="6">
        <v>0</v>
      </c>
      <c r="M482" s="6">
        <v>0</v>
      </c>
      <c r="N482" s="6">
        <v>300000</v>
      </c>
    </row>
    <row r="483" spans="1:15" x14ac:dyDescent="0.2">
      <c r="A483" s="4" t="s">
        <v>14</v>
      </c>
      <c r="B483" s="4" t="s">
        <v>994</v>
      </c>
      <c r="C483" s="4">
        <v>325</v>
      </c>
      <c r="D483" s="5">
        <v>45757</v>
      </c>
      <c r="E483" s="4">
        <v>32257553</v>
      </c>
      <c r="F483" s="4" t="s">
        <v>935</v>
      </c>
      <c r="G483" s="4">
        <v>901907732</v>
      </c>
      <c r="H483" s="4" t="s">
        <v>16</v>
      </c>
      <c r="I483" s="6">
        <v>1000000</v>
      </c>
      <c r="J483" s="6">
        <v>0</v>
      </c>
      <c r="K483" s="6">
        <v>0</v>
      </c>
      <c r="L483" s="6">
        <v>0</v>
      </c>
      <c r="M483" s="6">
        <v>0</v>
      </c>
      <c r="N483" s="6">
        <v>1000000</v>
      </c>
    </row>
    <row r="484" spans="1:15" x14ac:dyDescent="0.2">
      <c r="A484" s="4" t="s">
        <v>14</v>
      </c>
      <c r="B484" s="4" t="s">
        <v>995</v>
      </c>
      <c r="C484" s="4">
        <v>529852</v>
      </c>
      <c r="D484" s="5">
        <v>45757</v>
      </c>
      <c r="E484" s="4">
        <v>800091549</v>
      </c>
      <c r="F484" s="4" t="s">
        <v>408</v>
      </c>
      <c r="G484" s="4">
        <v>901907732</v>
      </c>
      <c r="H484" s="4" t="s">
        <v>427</v>
      </c>
      <c r="I484" s="6">
        <v>630257</v>
      </c>
      <c r="J484" s="6">
        <v>0</v>
      </c>
      <c r="K484" s="6">
        <v>0</v>
      </c>
      <c r="L484" s="6">
        <v>0</v>
      </c>
      <c r="M484" s="6">
        <v>0</v>
      </c>
      <c r="N484" s="6">
        <v>630257</v>
      </c>
    </row>
    <row r="485" spans="1:15" x14ac:dyDescent="0.2">
      <c r="A485" s="4" t="s">
        <v>14</v>
      </c>
      <c r="B485" s="4" t="s">
        <v>996</v>
      </c>
      <c r="C485" s="4">
        <v>529845</v>
      </c>
      <c r="D485" s="5">
        <v>45757</v>
      </c>
      <c r="E485" s="4">
        <v>800091549</v>
      </c>
      <c r="F485" s="4" t="s">
        <v>408</v>
      </c>
      <c r="G485" s="4">
        <v>901907732</v>
      </c>
      <c r="H485" s="4" t="s">
        <v>427</v>
      </c>
      <c r="I485" s="6">
        <v>2367199</v>
      </c>
      <c r="J485" s="6">
        <v>0</v>
      </c>
      <c r="K485" s="6">
        <v>0</v>
      </c>
      <c r="L485" s="6">
        <v>0</v>
      </c>
      <c r="M485" s="6">
        <v>0</v>
      </c>
      <c r="N485" s="6">
        <v>2367199</v>
      </c>
    </row>
    <row r="486" spans="1:15" x14ac:dyDescent="0.2">
      <c r="A486" s="4" t="s">
        <v>14</v>
      </c>
      <c r="B486" s="4" t="s">
        <v>997</v>
      </c>
      <c r="C486" s="4">
        <v>529833</v>
      </c>
      <c r="D486" s="5">
        <v>45757</v>
      </c>
      <c r="E486" s="4">
        <v>800091549</v>
      </c>
      <c r="F486" s="4" t="s">
        <v>408</v>
      </c>
      <c r="G486" s="4">
        <v>901907732</v>
      </c>
      <c r="H486" s="4" t="s">
        <v>427</v>
      </c>
      <c r="I486" s="6">
        <v>890363</v>
      </c>
      <c r="J486" s="6">
        <v>0</v>
      </c>
      <c r="K486" s="6">
        <v>0</v>
      </c>
      <c r="L486" s="6">
        <v>0</v>
      </c>
      <c r="M486" s="6">
        <v>0</v>
      </c>
      <c r="N486" s="6">
        <v>890363</v>
      </c>
    </row>
    <row r="487" spans="1:15" x14ac:dyDescent="0.2">
      <c r="A487" s="4" t="s">
        <v>14</v>
      </c>
      <c r="B487" s="4" t="s">
        <v>998</v>
      </c>
      <c r="C487" s="4">
        <v>529830</v>
      </c>
      <c r="D487" s="5">
        <v>45757</v>
      </c>
      <c r="E487" s="4">
        <v>800091549</v>
      </c>
      <c r="F487" s="4" t="s">
        <v>408</v>
      </c>
      <c r="G487" s="4">
        <v>901907732</v>
      </c>
      <c r="H487" s="4" t="s">
        <v>427</v>
      </c>
      <c r="I487" s="6">
        <v>826407</v>
      </c>
      <c r="J487" s="6">
        <v>0</v>
      </c>
      <c r="K487" s="6">
        <v>0</v>
      </c>
      <c r="L487" s="6">
        <v>0</v>
      </c>
      <c r="M487" s="6">
        <v>0</v>
      </c>
      <c r="N487" s="6">
        <v>826407</v>
      </c>
    </row>
    <row r="488" spans="1:15" x14ac:dyDescent="0.2">
      <c r="A488" s="4" t="s">
        <v>14</v>
      </c>
      <c r="B488" s="4" t="s">
        <v>999</v>
      </c>
      <c r="C488" s="4">
        <v>529826</v>
      </c>
      <c r="D488" s="5">
        <v>45757</v>
      </c>
      <c r="E488" s="4">
        <v>800091549</v>
      </c>
      <c r="F488" s="4" t="s">
        <v>408</v>
      </c>
      <c r="G488" s="4">
        <v>901907732</v>
      </c>
      <c r="H488" s="4" t="s">
        <v>427</v>
      </c>
      <c r="I488" s="6">
        <v>340847</v>
      </c>
      <c r="J488" s="6">
        <v>0</v>
      </c>
      <c r="K488" s="6">
        <v>0</v>
      </c>
      <c r="L488" s="6">
        <v>0</v>
      </c>
      <c r="M488" s="6">
        <v>0</v>
      </c>
      <c r="N488" s="6">
        <v>340847</v>
      </c>
    </row>
    <row r="489" spans="1:15" x14ac:dyDescent="0.2">
      <c r="A489" s="4" t="s">
        <v>14</v>
      </c>
      <c r="B489" s="4" t="s">
        <v>1000</v>
      </c>
      <c r="C489" s="4">
        <v>529824</v>
      </c>
      <c r="D489" s="5">
        <v>45757</v>
      </c>
      <c r="E489" s="4">
        <v>800091549</v>
      </c>
      <c r="F489" s="4" t="s">
        <v>408</v>
      </c>
      <c r="G489" s="4">
        <v>901907732</v>
      </c>
      <c r="H489" s="4" t="s">
        <v>427</v>
      </c>
      <c r="I489" s="6">
        <v>149534</v>
      </c>
      <c r="J489" s="6">
        <v>0</v>
      </c>
      <c r="K489" s="6">
        <v>0</v>
      </c>
      <c r="L489" s="6">
        <v>0</v>
      </c>
      <c r="M489" s="6">
        <v>0</v>
      </c>
      <c r="N489" s="6">
        <v>149534</v>
      </c>
    </row>
    <row r="490" spans="1:15" x14ac:dyDescent="0.2">
      <c r="A490" s="4" t="s">
        <v>14</v>
      </c>
      <c r="B490" s="4" t="s">
        <v>1001</v>
      </c>
      <c r="C490" s="4">
        <v>529820</v>
      </c>
      <c r="D490" s="5">
        <v>45757</v>
      </c>
      <c r="E490" s="4">
        <v>800091549</v>
      </c>
      <c r="F490" s="4" t="s">
        <v>408</v>
      </c>
      <c r="G490" s="4">
        <v>901907732</v>
      </c>
      <c r="H490" s="4" t="s">
        <v>427</v>
      </c>
      <c r="I490" s="6">
        <v>1647998</v>
      </c>
      <c r="J490" s="6">
        <v>0</v>
      </c>
      <c r="K490" s="6">
        <v>0</v>
      </c>
      <c r="L490" s="6">
        <v>0</v>
      </c>
      <c r="M490" s="6">
        <v>0</v>
      </c>
      <c r="N490" s="6">
        <v>1647998</v>
      </c>
    </row>
    <row r="491" spans="1:15" x14ac:dyDescent="0.2">
      <c r="A491" s="4" t="s">
        <v>14</v>
      </c>
      <c r="B491" s="4" t="s">
        <v>1002</v>
      </c>
      <c r="C491" s="4">
        <v>529798</v>
      </c>
      <c r="D491" s="5">
        <v>45757</v>
      </c>
      <c r="E491" s="4">
        <v>800091549</v>
      </c>
      <c r="F491" s="4" t="s">
        <v>408</v>
      </c>
      <c r="G491" s="4">
        <v>901907732</v>
      </c>
      <c r="H491" s="4" t="s">
        <v>427</v>
      </c>
      <c r="I491" s="6">
        <v>493805</v>
      </c>
      <c r="J491" s="6">
        <v>0</v>
      </c>
      <c r="K491" s="6">
        <v>0</v>
      </c>
      <c r="L491" s="6">
        <v>0</v>
      </c>
      <c r="M491" s="6">
        <v>0</v>
      </c>
      <c r="N491" s="6">
        <v>493805</v>
      </c>
    </row>
    <row r="492" spans="1:15" x14ac:dyDescent="0.2">
      <c r="A492" s="4" t="s">
        <v>14</v>
      </c>
      <c r="B492" s="4" t="s">
        <v>1003</v>
      </c>
      <c r="C492" s="4">
        <v>529787</v>
      </c>
      <c r="D492" s="5">
        <v>45757</v>
      </c>
      <c r="E492" s="4">
        <v>800091549</v>
      </c>
      <c r="F492" s="4" t="s">
        <v>408</v>
      </c>
      <c r="G492" s="4">
        <v>901907732</v>
      </c>
      <c r="H492" s="4" t="s">
        <v>427</v>
      </c>
      <c r="I492" s="6">
        <v>487764</v>
      </c>
      <c r="J492" s="6">
        <v>0</v>
      </c>
      <c r="K492" s="6">
        <v>0</v>
      </c>
      <c r="L492" s="6">
        <v>0</v>
      </c>
      <c r="M492" s="6">
        <v>0</v>
      </c>
      <c r="N492" s="6">
        <v>487764</v>
      </c>
    </row>
    <row r="493" spans="1:15" x14ac:dyDescent="0.2">
      <c r="A493" s="4" t="s">
        <v>14</v>
      </c>
      <c r="B493" s="4" t="s">
        <v>1004</v>
      </c>
      <c r="C493" s="4">
        <v>529786</v>
      </c>
      <c r="D493" s="5">
        <v>45757</v>
      </c>
      <c r="E493" s="4">
        <v>800091549</v>
      </c>
      <c r="F493" s="4" t="s">
        <v>408</v>
      </c>
      <c r="G493" s="4">
        <v>901907732</v>
      </c>
      <c r="H493" s="4" t="s">
        <v>427</v>
      </c>
      <c r="I493" s="6">
        <v>938433</v>
      </c>
      <c r="J493" s="6">
        <v>0</v>
      </c>
      <c r="K493" s="6">
        <v>0</v>
      </c>
      <c r="L493" s="6">
        <v>0</v>
      </c>
      <c r="M493" s="6">
        <v>0</v>
      </c>
      <c r="N493" s="6">
        <v>938433</v>
      </c>
    </row>
    <row r="494" spans="1:15" x14ac:dyDescent="0.2">
      <c r="A494" s="4" t="s">
        <v>14</v>
      </c>
      <c r="B494" s="4" t="s">
        <v>1005</v>
      </c>
      <c r="C494" s="4">
        <v>529780</v>
      </c>
      <c r="D494" s="5">
        <v>45757</v>
      </c>
      <c r="E494" s="4">
        <v>800091549</v>
      </c>
      <c r="F494" s="4" t="s">
        <v>408</v>
      </c>
      <c r="G494" s="4">
        <v>901907732</v>
      </c>
      <c r="H494" s="4" t="s">
        <v>427</v>
      </c>
      <c r="I494" s="6">
        <v>382285</v>
      </c>
      <c r="J494" s="6">
        <v>0</v>
      </c>
      <c r="K494" s="6">
        <v>0</v>
      </c>
      <c r="L494" s="6">
        <v>0</v>
      </c>
      <c r="M494" s="6">
        <v>0</v>
      </c>
      <c r="N494" s="6">
        <v>382285</v>
      </c>
    </row>
    <row r="495" spans="1:15" x14ac:dyDescent="0.2">
      <c r="A495" s="4" t="s">
        <v>14</v>
      </c>
      <c r="B495" s="4" t="s">
        <v>1006</v>
      </c>
      <c r="C495" s="4">
        <v>529744</v>
      </c>
      <c r="D495" s="5">
        <v>45757</v>
      </c>
      <c r="E495" s="4">
        <v>800091549</v>
      </c>
      <c r="F495" s="4" t="s">
        <v>408</v>
      </c>
      <c r="G495" s="4">
        <v>901907732</v>
      </c>
      <c r="H495" s="4" t="s">
        <v>427</v>
      </c>
      <c r="I495" s="6">
        <v>263547</v>
      </c>
      <c r="J495" s="6">
        <v>0</v>
      </c>
      <c r="K495" s="6">
        <v>0</v>
      </c>
      <c r="L495" s="6">
        <v>0</v>
      </c>
      <c r="M495" s="6">
        <v>0</v>
      </c>
      <c r="N495" s="6">
        <v>263547</v>
      </c>
    </row>
    <row r="496" spans="1:15" x14ac:dyDescent="0.2">
      <c r="A496" s="4" t="s">
        <v>14</v>
      </c>
      <c r="B496" s="4" t="s">
        <v>1007</v>
      </c>
      <c r="C496" s="4">
        <v>10760</v>
      </c>
      <c r="D496" s="5">
        <v>45757</v>
      </c>
      <c r="E496" s="4">
        <v>901660770</v>
      </c>
      <c r="F496" s="4" t="s">
        <v>1008</v>
      </c>
      <c r="G496" s="4">
        <v>901907732</v>
      </c>
      <c r="H496" s="4" t="s">
        <v>462</v>
      </c>
      <c r="I496" s="6">
        <v>185881.47</v>
      </c>
      <c r="J496" s="6">
        <v>0</v>
      </c>
      <c r="K496" s="6">
        <v>0</v>
      </c>
      <c r="L496" s="6">
        <v>13518.51</v>
      </c>
      <c r="M496" s="6">
        <v>0</v>
      </c>
      <c r="N496" s="6">
        <v>199399.98</v>
      </c>
    </row>
    <row r="497" spans="1:16" x14ac:dyDescent="0.2">
      <c r="A497" s="4" t="s">
        <v>14</v>
      </c>
      <c r="B497" s="4" t="s">
        <v>1009</v>
      </c>
      <c r="C497" s="4">
        <v>41852</v>
      </c>
      <c r="D497" s="5">
        <v>45756</v>
      </c>
      <c r="E497" s="4">
        <v>901273723</v>
      </c>
      <c r="F497" s="4" t="s">
        <v>847</v>
      </c>
      <c r="G497" s="4">
        <v>901907732</v>
      </c>
      <c r="H497" s="4" t="s">
        <v>1010</v>
      </c>
      <c r="I497" s="6">
        <v>582855.7300000001</v>
      </c>
      <c r="J497" s="6">
        <v>14928.57</v>
      </c>
      <c r="K497" s="6">
        <v>0</v>
      </c>
      <c r="L497" s="6">
        <v>36103.699999999997</v>
      </c>
      <c r="M497" s="6">
        <v>0</v>
      </c>
      <c r="N497" s="6">
        <v>633888</v>
      </c>
    </row>
    <row r="498" spans="1:16" x14ac:dyDescent="0.2">
      <c r="A498" s="4" t="s">
        <v>14</v>
      </c>
      <c r="B498" s="4" t="s">
        <v>1011</v>
      </c>
      <c r="C498" s="4">
        <v>41821</v>
      </c>
      <c r="D498" s="5">
        <v>45756</v>
      </c>
      <c r="E498" s="4">
        <v>901273723</v>
      </c>
      <c r="F498" s="4" t="s">
        <v>847</v>
      </c>
      <c r="G498" s="4">
        <v>901907732</v>
      </c>
      <c r="H498" s="4" t="s">
        <v>1010</v>
      </c>
      <c r="I498" s="6">
        <v>184873.95</v>
      </c>
      <c r="J498" s="6">
        <v>35126.050000000003</v>
      </c>
      <c r="K498" s="6">
        <v>0</v>
      </c>
      <c r="L498" s="6">
        <v>0</v>
      </c>
      <c r="M498" s="6">
        <v>0</v>
      </c>
      <c r="N498" s="6">
        <v>220000</v>
      </c>
    </row>
    <row r="499" spans="1:16" x14ac:dyDescent="0.2">
      <c r="A499" s="4" t="s">
        <v>14</v>
      </c>
      <c r="B499" s="4" t="s">
        <v>1012</v>
      </c>
      <c r="C499" s="4">
        <v>240818</v>
      </c>
      <c r="D499" s="5">
        <v>45756</v>
      </c>
      <c r="E499" s="4">
        <v>900439301</v>
      </c>
      <c r="F499" s="4" t="s">
        <v>767</v>
      </c>
      <c r="G499" s="4">
        <v>901907732</v>
      </c>
      <c r="H499" s="4" t="s">
        <v>450</v>
      </c>
      <c r="I499" s="6">
        <v>109075.63</v>
      </c>
      <c r="J499" s="6">
        <v>20724.37</v>
      </c>
      <c r="K499" s="6">
        <v>0</v>
      </c>
      <c r="L499" s="6">
        <v>0</v>
      </c>
      <c r="M499" s="6">
        <v>0</v>
      </c>
      <c r="N499" s="6">
        <v>129800</v>
      </c>
    </row>
    <row r="500" spans="1:16" x14ac:dyDescent="0.2">
      <c r="A500" s="4" t="s">
        <v>14</v>
      </c>
      <c r="B500" s="4" t="s">
        <v>1013</v>
      </c>
      <c r="C500" s="4">
        <v>38656</v>
      </c>
      <c r="D500" s="5">
        <v>45755</v>
      </c>
      <c r="E500" s="4">
        <v>890942360</v>
      </c>
      <c r="F500" s="4" t="s">
        <v>603</v>
      </c>
      <c r="G500" s="4">
        <v>901907732</v>
      </c>
      <c r="H500" s="4" t="s">
        <v>16</v>
      </c>
      <c r="I500" s="6">
        <v>24074.079999999998</v>
      </c>
      <c r="J500" s="6">
        <v>0</v>
      </c>
      <c r="K500" s="6">
        <v>0</v>
      </c>
      <c r="L500" s="6">
        <v>1925.93</v>
      </c>
      <c r="M500" s="6">
        <v>0</v>
      </c>
      <c r="N500" s="6">
        <v>26000.01</v>
      </c>
    </row>
    <row r="501" spans="1:16" x14ac:dyDescent="0.2">
      <c r="A501" s="4" t="s">
        <v>14</v>
      </c>
      <c r="B501" s="4" t="s">
        <v>1014</v>
      </c>
      <c r="C501" s="4">
        <v>38553</v>
      </c>
      <c r="D501" s="5">
        <v>45754</v>
      </c>
      <c r="E501" s="4">
        <v>890942360</v>
      </c>
      <c r="F501" s="4" t="s">
        <v>603</v>
      </c>
      <c r="G501" s="4">
        <v>901907732</v>
      </c>
      <c r="H501" s="4" t="s">
        <v>16</v>
      </c>
      <c r="I501" s="6">
        <v>41371.759999999995</v>
      </c>
      <c r="J501" s="6">
        <v>31.93</v>
      </c>
      <c r="K501" s="6">
        <v>0</v>
      </c>
      <c r="L501" s="6">
        <v>3296.3</v>
      </c>
      <c r="M501" s="6">
        <v>0</v>
      </c>
      <c r="N501" s="6">
        <v>44699.99</v>
      </c>
    </row>
    <row r="502" spans="1:16" x14ac:dyDescent="0.2">
      <c r="A502" s="4" t="s">
        <v>14</v>
      </c>
      <c r="B502" s="4" t="s">
        <v>1015</v>
      </c>
      <c r="C502" s="4">
        <v>68436</v>
      </c>
      <c r="D502" s="5">
        <v>45754</v>
      </c>
      <c r="E502" s="4">
        <v>900691421</v>
      </c>
      <c r="F502" s="4" t="s">
        <v>1016</v>
      </c>
      <c r="G502" s="4">
        <v>901907732</v>
      </c>
      <c r="H502" s="4" t="s">
        <v>16</v>
      </c>
      <c r="I502" s="6">
        <v>92844.44</v>
      </c>
      <c r="J502" s="6">
        <v>0</v>
      </c>
      <c r="K502" s="6">
        <v>0</v>
      </c>
      <c r="L502" s="6">
        <v>6755.56</v>
      </c>
      <c r="M502" s="6">
        <v>0</v>
      </c>
      <c r="N502" s="6">
        <v>99600</v>
      </c>
    </row>
    <row r="503" spans="1:16" x14ac:dyDescent="0.2">
      <c r="A503" s="4" t="s">
        <v>14</v>
      </c>
      <c r="B503" s="4" t="s">
        <v>1017</v>
      </c>
      <c r="C503" s="4">
        <v>1549601</v>
      </c>
      <c r="D503" s="5">
        <v>45754</v>
      </c>
      <c r="E503" s="4">
        <v>890903407</v>
      </c>
      <c r="F503" s="4" t="s">
        <v>1018</v>
      </c>
      <c r="G503" s="4">
        <v>901907732</v>
      </c>
      <c r="H503" s="4" t="s">
        <v>16</v>
      </c>
      <c r="I503" s="6">
        <v>299589</v>
      </c>
      <c r="J503" s="6">
        <v>56921.91</v>
      </c>
      <c r="K503" s="6">
        <v>0</v>
      </c>
      <c r="L503" s="6">
        <v>0</v>
      </c>
      <c r="M503" s="6">
        <v>0</v>
      </c>
      <c r="N503" s="6">
        <v>356510.91</v>
      </c>
    </row>
    <row r="504" spans="1:16" x14ac:dyDescent="0.2">
      <c r="A504" s="4" t="s">
        <v>14</v>
      </c>
      <c r="B504" s="4" t="s">
        <v>1019</v>
      </c>
      <c r="C504" s="4">
        <v>1770229</v>
      </c>
      <c r="D504" s="5">
        <v>45754</v>
      </c>
      <c r="E504" s="4">
        <v>890903407</v>
      </c>
      <c r="F504" s="4" t="s">
        <v>1018</v>
      </c>
      <c r="G504" s="4">
        <v>901907732</v>
      </c>
      <c r="H504" s="4" t="s">
        <v>16</v>
      </c>
      <c r="I504" s="6">
        <v>84034</v>
      </c>
      <c r="J504" s="6">
        <v>15966.46</v>
      </c>
      <c r="K504" s="6">
        <v>0</v>
      </c>
      <c r="L504" s="6">
        <v>0</v>
      </c>
      <c r="M504" s="6">
        <v>0</v>
      </c>
      <c r="N504" s="6">
        <v>100000.46</v>
      </c>
    </row>
    <row r="505" spans="1:16" x14ac:dyDescent="0.2">
      <c r="A505" s="4" t="s">
        <v>14</v>
      </c>
      <c r="B505" s="4" t="s">
        <v>1020</v>
      </c>
      <c r="C505" s="4">
        <v>528119</v>
      </c>
      <c r="D505" s="5">
        <v>45751</v>
      </c>
      <c r="E505" s="4">
        <v>800091549</v>
      </c>
      <c r="F505" s="4" t="s">
        <v>408</v>
      </c>
      <c r="G505" s="4">
        <v>901907732</v>
      </c>
      <c r="H505" s="4" t="s">
        <v>427</v>
      </c>
      <c r="I505" s="6">
        <v>8596527</v>
      </c>
      <c r="J505" s="6">
        <v>0</v>
      </c>
      <c r="K505" s="6">
        <v>0</v>
      </c>
      <c r="L505" s="6">
        <v>0</v>
      </c>
      <c r="M505" s="6">
        <v>0</v>
      </c>
      <c r="N505" s="6">
        <v>8596527</v>
      </c>
    </row>
    <row r="506" spans="1:16" x14ac:dyDescent="0.2">
      <c r="A506" s="4" t="s">
        <v>14</v>
      </c>
      <c r="B506" s="4" t="s">
        <v>1021</v>
      </c>
      <c r="C506" s="4">
        <v>153697</v>
      </c>
      <c r="D506" s="5">
        <v>45751</v>
      </c>
      <c r="E506" s="4">
        <v>800180330</v>
      </c>
      <c r="F506" s="4" t="s">
        <v>1022</v>
      </c>
      <c r="G506" s="4">
        <v>901907732</v>
      </c>
      <c r="H506" s="4" t="s">
        <v>16</v>
      </c>
      <c r="I506" s="6">
        <v>115079.62</v>
      </c>
      <c r="J506" s="6">
        <v>0</v>
      </c>
      <c r="K506" s="6">
        <v>0</v>
      </c>
      <c r="L506" s="6">
        <v>8370.3799999999992</v>
      </c>
      <c r="M506" s="6">
        <v>0</v>
      </c>
      <c r="N506" s="6">
        <v>123450</v>
      </c>
    </row>
    <row r="507" spans="1:16" x14ac:dyDescent="0.2">
      <c r="A507" s="4" t="s">
        <v>14</v>
      </c>
      <c r="B507" s="4" t="s">
        <v>1023</v>
      </c>
      <c r="C507" s="4">
        <v>37632</v>
      </c>
      <c r="D507" s="5">
        <v>45751</v>
      </c>
      <c r="E507" s="4">
        <v>901476410</v>
      </c>
      <c r="F507" s="4" t="s">
        <v>473</v>
      </c>
      <c r="G507" s="4">
        <v>901907732</v>
      </c>
      <c r="H507" s="4" t="s">
        <v>16</v>
      </c>
      <c r="I507" s="6">
        <v>74286</v>
      </c>
      <c r="J507" s="6">
        <v>14114</v>
      </c>
      <c r="K507" s="6">
        <v>0</v>
      </c>
      <c r="L507" s="6">
        <v>0</v>
      </c>
      <c r="M507" s="6">
        <v>0</v>
      </c>
      <c r="N507" s="6">
        <v>88400</v>
      </c>
      <c r="O507" s="16">
        <f>+I507*2.5%</f>
        <v>1857.15</v>
      </c>
    </row>
    <row r="508" spans="1:16" x14ac:dyDescent="0.2">
      <c r="A508" s="4" t="s">
        <v>14</v>
      </c>
      <c r="B508" s="4" t="s">
        <v>1024</v>
      </c>
      <c r="C508" s="4">
        <v>1225</v>
      </c>
      <c r="D508" s="5">
        <v>45751</v>
      </c>
      <c r="E508" s="4">
        <v>93397337</v>
      </c>
      <c r="F508" s="4" t="s">
        <v>525</v>
      </c>
      <c r="G508" s="4">
        <v>901907732</v>
      </c>
      <c r="H508" s="4" t="s">
        <v>16</v>
      </c>
      <c r="I508" s="6">
        <v>300000</v>
      </c>
      <c r="J508" s="6">
        <v>0</v>
      </c>
      <c r="K508" s="6">
        <v>0</v>
      </c>
      <c r="L508" s="6">
        <v>0</v>
      </c>
      <c r="M508" s="6">
        <v>0</v>
      </c>
      <c r="N508" s="6">
        <v>300000</v>
      </c>
    </row>
    <row r="509" spans="1:16" x14ac:dyDescent="0.2">
      <c r="A509" s="4" t="s">
        <v>14</v>
      </c>
      <c r="B509" s="4" t="s">
        <v>1025</v>
      </c>
      <c r="C509" s="4">
        <v>726</v>
      </c>
      <c r="D509" s="5">
        <v>45750</v>
      </c>
      <c r="E509" s="4">
        <v>901552737</v>
      </c>
      <c r="F509" s="4" t="s">
        <v>1026</v>
      </c>
      <c r="G509" s="4">
        <v>901907732</v>
      </c>
      <c r="H509" s="4" t="s">
        <v>16</v>
      </c>
      <c r="I509" s="6">
        <v>290000</v>
      </c>
      <c r="J509" s="6">
        <v>55100</v>
      </c>
      <c r="K509" s="6">
        <v>0</v>
      </c>
      <c r="L509" s="6">
        <v>0</v>
      </c>
      <c r="M509" s="6">
        <v>0</v>
      </c>
      <c r="N509" s="6">
        <v>345100</v>
      </c>
    </row>
    <row r="510" spans="1:16" x14ac:dyDescent="0.2">
      <c r="A510" s="4" t="s">
        <v>14</v>
      </c>
      <c r="B510" s="4" t="s">
        <v>1027</v>
      </c>
      <c r="C510" s="4">
        <v>4954</v>
      </c>
      <c r="D510" s="5">
        <v>45749</v>
      </c>
      <c r="E510" s="4">
        <v>901519900</v>
      </c>
      <c r="F510" s="4" t="s">
        <v>467</v>
      </c>
      <c r="G510" s="4">
        <v>901907732</v>
      </c>
      <c r="H510" s="4" t="s">
        <v>16</v>
      </c>
      <c r="I510" s="6">
        <v>34000</v>
      </c>
      <c r="J510" s="6">
        <v>0</v>
      </c>
      <c r="K510" s="6">
        <v>0</v>
      </c>
      <c r="L510" s="6">
        <v>0</v>
      </c>
      <c r="M510" s="6">
        <v>0</v>
      </c>
      <c r="N510" s="6">
        <v>34000</v>
      </c>
    </row>
    <row r="511" spans="1:16" x14ac:dyDescent="0.2">
      <c r="A511" s="4" t="s">
        <v>14</v>
      </c>
      <c r="B511" s="4" t="s">
        <v>1028</v>
      </c>
      <c r="C511" s="4">
        <v>1775</v>
      </c>
      <c r="D511" s="5">
        <v>45748</v>
      </c>
      <c r="E511" s="4">
        <v>3486666</v>
      </c>
      <c r="F511" s="4" t="s">
        <v>437</v>
      </c>
      <c r="G511" s="4">
        <v>901907732</v>
      </c>
      <c r="H511" s="4" t="s">
        <v>16</v>
      </c>
      <c r="I511" s="6">
        <v>600500</v>
      </c>
      <c r="J511" s="6">
        <v>0</v>
      </c>
      <c r="K511" s="6">
        <v>0</v>
      </c>
      <c r="L511" s="6">
        <v>0</v>
      </c>
      <c r="M511" s="6">
        <v>0</v>
      </c>
      <c r="N511" s="6">
        <v>600500</v>
      </c>
      <c r="P511" s="7">
        <f>+I511*3.5%</f>
        <v>21017.500000000004</v>
      </c>
    </row>
    <row r="512" spans="1:16" x14ac:dyDescent="0.2">
      <c r="A512" s="4" t="s">
        <v>14</v>
      </c>
      <c r="B512" s="4" t="s">
        <v>1029</v>
      </c>
      <c r="C512" s="4">
        <v>2525</v>
      </c>
      <c r="D512" s="5">
        <v>45748</v>
      </c>
      <c r="E512" s="4">
        <v>900407508</v>
      </c>
      <c r="F512" s="4" t="s">
        <v>1030</v>
      </c>
      <c r="G512" s="4">
        <v>901907732</v>
      </c>
      <c r="H512" s="4" t="s">
        <v>16</v>
      </c>
      <c r="I512" s="6">
        <v>974800</v>
      </c>
      <c r="J512" s="6">
        <v>185212</v>
      </c>
      <c r="K512" s="6">
        <v>0</v>
      </c>
      <c r="L512" s="6">
        <v>0</v>
      </c>
      <c r="M512" s="6">
        <v>0</v>
      </c>
      <c r="N512" s="6">
        <v>1160012</v>
      </c>
    </row>
    <row r="513" spans="1:15" x14ac:dyDescent="0.2">
      <c r="A513" s="4" t="s">
        <v>14</v>
      </c>
      <c r="B513" s="4" t="s">
        <v>1031</v>
      </c>
      <c r="C513" s="4">
        <v>4396</v>
      </c>
      <c r="D513" s="5">
        <v>45747</v>
      </c>
      <c r="E513" s="4">
        <v>901334425</v>
      </c>
      <c r="F513" s="4" t="s">
        <v>790</v>
      </c>
      <c r="G513" s="4">
        <v>901907732</v>
      </c>
      <c r="H513" s="4" t="s">
        <v>16</v>
      </c>
      <c r="I513" s="6">
        <v>1765844.75</v>
      </c>
      <c r="J513" s="6">
        <v>0</v>
      </c>
      <c r="K513" s="6">
        <v>0</v>
      </c>
      <c r="L513" s="6">
        <v>0</v>
      </c>
      <c r="M513" s="6">
        <v>0</v>
      </c>
      <c r="N513" s="6">
        <v>1765844.75</v>
      </c>
    </row>
    <row r="514" spans="1:15" x14ac:dyDescent="0.2">
      <c r="A514" s="4" t="s">
        <v>14</v>
      </c>
      <c r="B514" s="4" t="s">
        <v>1032</v>
      </c>
      <c r="C514" s="4">
        <v>422550</v>
      </c>
      <c r="D514" s="5">
        <v>45741</v>
      </c>
      <c r="E514" s="4">
        <v>900181068</v>
      </c>
      <c r="F514" s="4" t="s">
        <v>708</v>
      </c>
      <c r="G514" s="4">
        <v>901907732</v>
      </c>
      <c r="H514" s="4" t="s">
        <v>16</v>
      </c>
      <c r="I514" s="6">
        <v>1383248.26</v>
      </c>
      <c r="J514" s="6">
        <v>262817.17</v>
      </c>
      <c r="K514" s="6">
        <v>0</v>
      </c>
      <c r="L514" s="6">
        <v>0</v>
      </c>
      <c r="M514" s="6">
        <v>0</v>
      </c>
      <c r="N514" s="6">
        <v>1646065.43</v>
      </c>
    </row>
    <row r="515" spans="1:15" x14ac:dyDescent="0.2">
      <c r="A515" s="4" t="s">
        <v>14</v>
      </c>
      <c r="B515" s="4" t="s">
        <v>1033</v>
      </c>
      <c r="C515" s="4">
        <v>422553</v>
      </c>
      <c r="D515" s="5">
        <v>45741</v>
      </c>
      <c r="E515" s="4">
        <v>900181068</v>
      </c>
      <c r="F515" s="4" t="s">
        <v>708</v>
      </c>
      <c r="G515" s="4">
        <v>901907732</v>
      </c>
      <c r="H515" s="4" t="s">
        <v>16</v>
      </c>
      <c r="I515" s="6">
        <v>4899159.66</v>
      </c>
      <c r="J515" s="6">
        <v>930840.33</v>
      </c>
      <c r="K515" s="6">
        <v>0</v>
      </c>
      <c r="L515" s="6">
        <v>0</v>
      </c>
      <c r="M515" s="6">
        <v>0</v>
      </c>
      <c r="N515" s="6">
        <v>5829999.9900000002</v>
      </c>
    </row>
    <row r="516" spans="1:15" x14ac:dyDescent="0.2">
      <c r="A516" s="4" t="s">
        <v>14</v>
      </c>
      <c r="B516" s="4" t="s">
        <v>1034</v>
      </c>
      <c r="C516" s="4">
        <v>15019</v>
      </c>
      <c r="D516" s="5">
        <v>45741</v>
      </c>
      <c r="E516" s="4">
        <v>900456873</v>
      </c>
      <c r="F516" s="4" t="s">
        <v>1035</v>
      </c>
      <c r="G516" s="4">
        <v>901907732</v>
      </c>
      <c r="H516" s="4" t="s">
        <v>16</v>
      </c>
      <c r="I516" s="6">
        <v>50000</v>
      </c>
      <c r="J516" s="6">
        <v>9500</v>
      </c>
      <c r="K516" s="6">
        <v>0</v>
      </c>
      <c r="L516" s="6">
        <v>0</v>
      </c>
      <c r="M516" s="6">
        <v>0</v>
      </c>
      <c r="N516" s="6">
        <v>59500</v>
      </c>
    </row>
    <row r="517" spans="1:15" x14ac:dyDescent="0.2">
      <c r="A517" s="4" t="s">
        <v>14</v>
      </c>
      <c r="B517" s="4" t="s">
        <v>1036</v>
      </c>
      <c r="C517" s="4">
        <v>422521</v>
      </c>
      <c r="D517" s="5">
        <v>45741</v>
      </c>
      <c r="E517" s="4">
        <v>900181068</v>
      </c>
      <c r="F517" s="4" t="s">
        <v>708</v>
      </c>
      <c r="G517" s="4">
        <v>901907732</v>
      </c>
      <c r="H517" s="4" t="s">
        <v>16</v>
      </c>
      <c r="I517" s="6">
        <v>218794.21000000002</v>
      </c>
      <c r="J517" s="6">
        <v>41570.89</v>
      </c>
      <c r="K517" s="6">
        <v>0</v>
      </c>
      <c r="L517" s="6">
        <v>0</v>
      </c>
      <c r="M517" s="6">
        <v>0</v>
      </c>
      <c r="N517" s="6">
        <v>260365.1</v>
      </c>
    </row>
    <row r="518" spans="1:15" x14ac:dyDescent="0.2">
      <c r="A518" s="4" t="s">
        <v>14</v>
      </c>
      <c r="B518" s="4" t="s">
        <v>1037</v>
      </c>
      <c r="C518" s="4">
        <v>1224</v>
      </c>
      <c r="D518" s="5">
        <v>45737</v>
      </c>
      <c r="E518" s="4">
        <v>93397337</v>
      </c>
      <c r="F518" s="4" t="s">
        <v>525</v>
      </c>
      <c r="G518" s="4">
        <v>901907732</v>
      </c>
      <c r="H518" s="4" t="s">
        <v>16</v>
      </c>
      <c r="I518" s="6">
        <v>300000</v>
      </c>
      <c r="J518" s="6">
        <v>0</v>
      </c>
      <c r="K518" s="6">
        <v>0</v>
      </c>
      <c r="L518" s="6">
        <v>0</v>
      </c>
      <c r="M518" s="6">
        <v>0</v>
      </c>
      <c r="N518" s="6">
        <v>300000</v>
      </c>
    </row>
    <row r="519" spans="1:15" x14ac:dyDescent="0.2">
      <c r="A519" s="4" t="s">
        <v>14</v>
      </c>
      <c r="B519" s="4" t="s">
        <v>1038</v>
      </c>
      <c r="C519" s="4">
        <v>3196523</v>
      </c>
      <c r="D519" s="5">
        <v>45737</v>
      </c>
      <c r="E519" s="4">
        <v>890903407</v>
      </c>
      <c r="F519" s="4" t="s">
        <v>1018</v>
      </c>
      <c r="G519" s="4">
        <v>901907732</v>
      </c>
      <c r="H519" s="4" t="s">
        <v>16</v>
      </c>
      <c r="I519" s="6">
        <v>675000</v>
      </c>
      <c r="J519" s="6">
        <v>128250.19</v>
      </c>
      <c r="K519" s="6">
        <v>0</v>
      </c>
      <c r="L519" s="6">
        <v>0</v>
      </c>
      <c r="M519" s="6">
        <v>0</v>
      </c>
      <c r="N519" s="6">
        <v>803250.19</v>
      </c>
    </row>
    <row r="520" spans="1:15" x14ac:dyDescent="0.2">
      <c r="A520" s="4" t="s">
        <v>14</v>
      </c>
      <c r="B520" s="4" t="s">
        <v>1039</v>
      </c>
      <c r="C520" s="4">
        <v>6394</v>
      </c>
      <c r="D520" s="5">
        <v>45736</v>
      </c>
      <c r="E520" s="4">
        <v>901476410</v>
      </c>
      <c r="F520" s="4" t="s">
        <v>473</v>
      </c>
      <c r="G520" s="4">
        <v>901907732</v>
      </c>
      <c r="H520" s="4" t="s">
        <v>16</v>
      </c>
      <c r="I520" s="6">
        <v>88655</v>
      </c>
      <c r="J520" s="6">
        <v>16845</v>
      </c>
      <c r="K520" s="6">
        <v>0</v>
      </c>
      <c r="L520" s="6">
        <v>0</v>
      </c>
      <c r="M520" s="6">
        <v>0</v>
      </c>
      <c r="N520" s="6">
        <v>105500</v>
      </c>
      <c r="O520" s="16">
        <f t="shared" ref="O520:O521" si="11">+I520*2.5%</f>
        <v>2216.375</v>
      </c>
    </row>
    <row r="521" spans="1:15" x14ac:dyDescent="0.2">
      <c r="A521" s="4" t="s">
        <v>14</v>
      </c>
      <c r="B521" s="4" t="s">
        <v>1040</v>
      </c>
      <c r="C521" s="4">
        <v>6389</v>
      </c>
      <c r="D521" s="5">
        <v>45736</v>
      </c>
      <c r="E521" s="4">
        <v>901476410</v>
      </c>
      <c r="F521" s="4" t="s">
        <v>473</v>
      </c>
      <c r="G521" s="4">
        <v>901907732</v>
      </c>
      <c r="H521" s="4" t="s">
        <v>16</v>
      </c>
      <c r="I521" s="6">
        <v>42857</v>
      </c>
      <c r="J521" s="6">
        <v>8143</v>
      </c>
      <c r="K521" s="6">
        <v>0</v>
      </c>
      <c r="L521" s="6">
        <v>0</v>
      </c>
      <c r="M521" s="6">
        <v>0</v>
      </c>
      <c r="N521" s="6">
        <v>51000</v>
      </c>
      <c r="O521" s="16">
        <f t="shared" si="11"/>
        <v>1071.425</v>
      </c>
    </row>
    <row r="522" spans="1:15" x14ac:dyDescent="0.2">
      <c r="A522" s="4" t="s">
        <v>14</v>
      </c>
      <c r="B522" s="4" t="s">
        <v>1041</v>
      </c>
      <c r="C522" s="4">
        <v>522068</v>
      </c>
      <c r="D522" s="5">
        <v>45728</v>
      </c>
      <c r="E522" s="4">
        <v>800091549</v>
      </c>
      <c r="F522" s="4" t="s">
        <v>408</v>
      </c>
      <c r="G522" s="4">
        <v>901907732</v>
      </c>
      <c r="H522" s="4" t="s">
        <v>427</v>
      </c>
      <c r="I522" s="6">
        <v>382848</v>
      </c>
      <c r="J522" s="6">
        <v>0</v>
      </c>
      <c r="K522" s="6">
        <v>0</v>
      </c>
      <c r="L522" s="6">
        <v>0</v>
      </c>
      <c r="M522" s="6">
        <v>0</v>
      </c>
      <c r="N522" s="6">
        <v>382848</v>
      </c>
    </row>
    <row r="523" spans="1:15" x14ac:dyDescent="0.2">
      <c r="A523" s="4" t="s">
        <v>14</v>
      </c>
      <c r="B523" s="4" t="s">
        <v>1042</v>
      </c>
      <c r="C523" s="4">
        <v>3145202</v>
      </c>
      <c r="D523" s="5">
        <v>45734</v>
      </c>
      <c r="E523" s="4">
        <v>890905080</v>
      </c>
      <c r="F523" s="4" t="s">
        <v>722</v>
      </c>
      <c r="G523" s="4">
        <v>901907732</v>
      </c>
      <c r="H523" s="4" t="s">
        <v>16</v>
      </c>
      <c r="I523" s="6">
        <v>11600</v>
      </c>
      <c r="J523" s="6">
        <v>0</v>
      </c>
      <c r="K523" s="6">
        <v>0</v>
      </c>
      <c r="L523" s="6">
        <v>0</v>
      </c>
      <c r="M523" s="6">
        <v>0</v>
      </c>
      <c r="N523" s="6">
        <v>11600</v>
      </c>
    </row>
    <row r="524" spans="1:15" x14ac:dyDescent="0.2">
      <c r="A524" s="4" t="s">
        <v>14</v>
      </c>
      <c r="B524" s="4" t="s">
        <v>1043</v>
      </c>
      <c r="C524" s="4">
        <v>1223</v>
      </c>
      <c r="D524" s="5">
        <v>45730</v>
      </c>
      <c r="E524" s="4">
        <v>93397337</v>
      </c>
      <c r="F524" s="4" t="s">
        <v>525</v>
      </c>
      <c r="G524" s="4">
        <v>901907732</v>
      </c>
      <c r="H524" s="4" t="s">
        <v>16</v>
      </c>
      <c r="I524" s="6">
        <v>600000</v>
      </c>
      <c r="J524" s="6">
        <v>0</v>
      </c>
      <c r="K524" s="6">
        <v>0</v>
      </c>
      <c r="L524" s="6">
        <v>0</v>
      </c>
      <c r="M524" s="6">
        <v>0</v>
      </c>
      <c r="N524" s="6">
        <v>600000</v>
      </c>
    </row>
    <row r="525" spans="1:15" x14ac:dyDescent="0.2">
      <c r="A525" s="4" t="s">
        <v>14</v>
      </c>
      <c r="B525" s="4" t="s">
        <v>1044</v>
      </c>
      <c r="C525" s="4">
        <v>522630</v>
      </c>
      <c r="D525" s="5">
        <v>45729</v>
      </c>
      <c r="E525" s="4">
        <v>800091549</v>
      </c>
      <c r="F525" s="4" t="s">
        <v>408</v>
      </c>
      <c r="G525" s="4">
        <v>901907732</v>
      </c>
      <c r="H525" s="4" t="s">
        <v>427</v>
      </c>
      <c r="I525" s="6">
        <v>1427945</v>
      </c>
      <c r="J525" s="6">
        <v>0</v>
      </c>
      <c r="K525" s="6">
        <v>0</v>
      </c>
      <c r="L525" s="6">
        <v>0</v>
      </c>
      <c r="M525" s="6">
        <v>0</v>
      </c>
      <c r="N525" s="6">
        <v>1427945</v>
      </c>
    </row>
    <row r="526" spans="1:15" x14ac:dyDescent="0.2">
      <c r="A526" s="4" t="s">
        <v>14</v>
      </c>
      <c r="B526" s="4" t="s">
        <v>1045</v>
      </c>
      <c r="C526" s="4">
        <v>522193</v>
      </c>
      <c r="D526" s="5">
        <v>45728</v>
      </c>
      <c r="E526" s="4">
        <v>800091549</v>
      </c>
      <c r="F526" s="4" t="s">
        <v>408</v>
      </c>
      <c r="G526" s="4">
        <v>901907732</v>
      </c>
      <c r="H526" s="4" t="s">
        <v>427</v>
      </c>
      <c r="I526" s="6">
        <v>464297</v>
      </c>
      <c r="J526" s="6">
        <v>0</v>
      </c>
      <c r="K526" s="6">
        <v>0</v>
      </c>
      <c r="L526" s="6">
        <v>0</v>
      </c>
      <c r="M526" s="6">
        <v>0</v>
      </c>
      <c r="N526" s="6">
        <v>464297</v>
      </c>
    </row>
    <row r="527" spans="1:15" x14ac:dyDescent="0.2">
      <c r="A527" s="4" t="s">
        <v>14</v>
      </c>
      <c r="B527" s="4" t="s">
        <v>1046</v>
      </c>
      <c r="C527" s="4">
        <v>522094</v>
      </c>
      <c r="D527" s="5">
        <v>45728</v>
      </c>
      <c r="E527" s="4">
        <v>800091549</v>
      </c>
      <c r="F527" s="4" t="s">
        <v>408</v>
      </c>
      <c r="G527" s="4">
        <v>901907732</v>
      </c>
      <c r="H527" s="4" t="s">
        <v>427</v>
      </c>
      <c r="I527" s="6">
        <v>247798</v>
      </c>
      <c r="J527" s="6">
        <v>0</v>
      </c>
      <c r="K527" s="6">
        <v>0</v>
      </c>
      <c r="L527" s="6">
        <v>0</v>
      </c>
      <c r="M527" s="6">
        <v>0</v>
      </c>
      <c r="N527" s="6">
        <v>247798</v>
      </c>
    </row>
    <row r="528" spans="1:15" x14ac:dyDescent="0.2">
      <c r="A528" s="4" t="s">
        <v>14</v>
      </c>
      <c r="B528" s="4" t="s">
        <v>1047</v>
      </c>
      <c r="C528" s="4">
        <v>522063</v>
      </c>
      <c r="D528" s="5">
        <v>45728</v>
      </c>
      <c r="E528" s="4">
        <v>800091549</v>
      </c>
      <c r="F528" s="4" t="s">
        <v>408</v>
      </c>
      <c r="G528" s="4">
        <v>901907732</v>
      </c>
      <c r="H528" s="4" t="s">
        <v>427</v>
      </c>
      <c r="I528" s="6">
        <v>489040</v>
      </c>
      <c r="J528" s="6">
        <v>0</v>
      </c>
      <c r="K528" s="6">
        <v>0</v>
      </c>
      <c r="L528" s="6">
        <v>0</v>
      </c>
      <c r="M528" s="6">
        <v>0</v>
      </c>
      <c r="N528" s="6">
        <v>489040</v>
      </c>
    </row>
    <row r="529" spans="1:14" x14ac:dyDescent="0.2">
      <c r="A529" s="4" t="s">
        <v>14</v>
      </c>
      <c r="B529" s="4" t="s">
        <v>1048</v>
      </c>
      <c r="C529" s="4">
        <v>522060</v>
      </c>
      <c r="D529" s="5">
        <v>45728</v>
      </c>
      <c r="E529" s="4">
        <v>800091549</v>
      </c>
      <c r="F529" s="4" t="s">
        <v>408</v>
      </c>
      <c r="G529" s="4">
        <v>901907732</v>
      </c>
      <c r="H529" s="4" t="s">
        <v>427</v>
      </c>
      <c r="I529" s="6">
        <v>359440</v>
      </c>
      <c r="J529" s="6">
        <v>0</v>
      </c>
      <c r="K529" s="6">
        <v>0</v>
      </c>
      <c r="L529" s="6">
        <v>0</v>
      </c>
      <c r="M529" s="6">
        <v>0</v>
      </c>
      <c r="N529" s="6">
        <v>359440</v>
      </c>
    </row>
    <row r="530" spans="1:14" x14ac:dyDescent="0.2">
      <c r="A530" s="4" t="s">
        <v>14</v>
      </c>
      <c r="B530" s="4" t="s">
        <v>1049</v>
      </c>
      <c r="C530" s="4">
        <v>521696</v>
      </c>
      <c r="D530" s="5">
        <v>45727</v>
      </c>
      <c r="E530" s="4">
        <v>800091549</v>
      </c>
      <c r="F530" s="4" t="s">
        <v>408</v>
      </c>
      <c r="G530" s="4">
        <v>901907732</v>
      </c>
      <c r="H530" s="4" t="s">
        <v>427</v>
      </c>
      <c r="I530" s="6">
        <v>129531</v>
      </c>
      <c r="J530" s="6">
        <v>0</v>
      </c>
      <c r="K530" s="6">
        <v>0</v>
      </c>
      <c r="L530" s="6">
        <v>0</v>
      </c>
      <c r="M530" s="6">
        <v>0</v>
      </c>
      <c r="N530" s="6">
        <v>129531</v>
      </c>
    </row>
    <row r="531" spans="1:14" x14ac:dyDescent="0.2">
      <c r="A531" s="4" t="s">
        <v>14</v>
      </c>
      <c r="B531" s="4" t="s">
        <v>1050</v>
      </c>
      <c r="C531" s="4">
        <v>521689</v>
      </c>
      <c r="D531" s="5">
        <v>45727</v>
      </c>
      <c r="E531" s="4">
        <v>800091549</v>
      </c>
      <c r="F531" s="4" t="s">
        <v>408</v>
      </c>
      <c r="G531" s="4">
        <v>901907732</v>
      </c>
      <c r="H531" s="4" t="s">
        <v>427</v>
      </c>
      <c r="I531" s="6">
        <v>459633</v>
      </c>
      <c r="J531" s="6">
        <v>0</v>
      </c>
      <c r="K531" s="6">
        <v>0</v>
      </c>
      <c r="L531" s="6">
        <v>0</v>
      </c>
      <c r="M531" s="6">
        <v>0</v>
      </c>
      <c r="N531" s="6">
        <v>459633</v>
      </c>
    </row>
    <row r="532" spans="1:14" x14ac:dyDescent="0.2">
      <c r="A532" s="4" t="s">
        <v>14</v>
      </c>
      <c r="B532" s="4" t="s">
        <v>1051</v>
      </c>
      <c r="C532" s="4">
        <v>521688</v>
      </c>
      <c r="D532" s="5">
        <v>45727</v>
      </c>
      <c r="E532" s="4">
        <v>800091549</v>
      </c>
      <c r="F532" s="4" t="s">
        <v>408</v>
      </c>
      <c r="G532" s="4">
        <v>901907732</v>
      </c>
      <c r="H532" s="4" t="s">
        <v>427</v>
      </c>
      <c r="I532" s="6">
        <v>321190</v>
      </c>
      <c r="J532" s="6">
        <v>0</v>
      </c>
      <c r="K532" s="6">
        <v>0</v>
      </c>
      <c r="L532" s="6">
        <v>0</v>
      </c>
      <c r="M532" s="6">
        <v>0</v>
      </c>
      <c r="N532" s="6">
        <v>321190</v>
      </c>
    </row>
    <row r="533" spans="1:14" x14ac:dyDescent="0.2">
      <c r="A533" s="4" t="s">
        <v>14</v>
      </c>
      <c r="B533" s="4" t="s">
        <v>1052</v>
      </c>
      <c r="C533" s="4">
        <v>521687</v>
      </c>
      <c r="D533" s="5">
        <v>45727</v>
      </c>
      <c r="E533" s="4">
        <v>800091549</v>
      </c>
      <c r="F533" s="4" t="s">
        <v>408</v>
      </c>
      <c r="G533" s="4">
        <v>901907732</v>
      </c>
      <c r="H533" s="4" t="s">
        <v>427</v>
      </c>
      <c r="I533" s="6">
        <v>593907</v>
      </c>
      <c r="J533" s="6">
        <v>0</v>
      </c>
      <c r="K533" s="6">
        <v>0</v>
      </c>
      <c r="L533" s="6">
        <v>0</v>
      </c>
      <c r="M533" s="6">
        <v>0</v>
      </c>
      <c r="N533" s="6">
        <v>593907</v>
      </c>
    </row>
    <row r="534" spans="1:14" x14ac:dyDescent="0.2">
      <c r="A534" s="4" t="s">
        <v>14</v>
      </c>
      <c r="B534" s="4" t="s">
        <v>1053</v>
      </c>
      <c r="C534" s="4">
        <v>521686</v>
      </c>
      <c r="D534" s="5">
        <v>45727</v>
      </c>
      <c r="E534" s="4">
        <v>800091549</v>
      </c>
      <c r="F534" s="4" t="s">
        <v>408</v>
      </c>
      <c r="G534" s="4">
        <v>901907732</v>
      </c>
      <c r="H534" s="4" t="s">
        <v>427</v>
      </c>
      <c r="I534" s="6">
        <v>772558</v>
      </c>
      <c r="J534" s="6">
        <v>0</v>
      </c>
      <c r="K534" s="6">
        <v>0</v>
      </c>
      <c r="L534" s="6">
        <v>0</v>
      </c>
      <c r="M534" s="6">
        <v>0</v>
      </c>
      <c r="N534" s="6">
        <v>772558</v>
      </c>
    </row>
    <row r="535" spans="1:14" x14ac:dyDescent="0.2">
      <c r="A535" s="4" t="s">
        <v>14</v>
      </c>
      <c r="B535" s="4" t="s">
        <v>1054</v>
      </c>
      <c r="C535" s="4">
        <v>521685</v>
      </c>
      <c r="D535" s="5">
        <v>45727</v>
      </c>
      <c r="E535" s="4">
        <v>800091549</v>
      </c>
      <c r="F535" s="4" t="s">
        <v>408</v>
      </c>
      <c r="G535" s="4">
        <v>901907732</v>
      </c>
      <c r="H535" s="4" t="s">
        <v>427</v>
      </c>
      <c r="I535" s="6">
        <v>2230671</v>
      </c>
      <c r="J535" s="6">
        <v>0</v>
      </c>
      <c r="K535" s="6">
        <v>0</v>
      </c>
      <c r="L535" s="6">
        <v>0</v>
      </c>
      <c r="M535" s="6">
        <v>0</v>
      </c>
      <c r="N535" s="6">
        <v>2230671</v>
      </c>
    </row>
    <row r="536" spans="1:14" x14ac:dyDescent="0.2">
      <c r="A536" s="4" t="s">
        <v>14</v>
      </c>
      <c r="B536" s="4" t="s">
        <v>1055</v>
      </c>
      <c r="C536" s="4">
        <v>521684</v>
      </c>
      <c r="D536" s="5">
        <v>45727</v>
      </c>
      <c r="E536" s="4">
        <v>800091549</v>
      </c>
      <c r="F536" s="4" t="s">
        <v>408</v>
      </c>
      <c r="G536" s="4">
        <v>901907732</v>
      </c>
      <c r="H536" s="4" t="s">
        <v>427</v>
      </c>
      <c r="I536" s="6">
        <v>796916</v>
      </c>
      <c r="J536" s="6">
        <v>0</v>
      </c>
      <c r="K536" s="6">
        <v>0</v>
      </c>
      <c r="L536" s="6">
        <v>0</v>
      </c>
      <c r="M536" s="6">
        <v>0</v>
      </c>
      <c r="N536" s="6">
        <v>796916</v>
      </c>
    </row>
    <row r="537" spans="1:14" x14ac:dyDescent="0.2">
      <c r="A537" s="4" t="s">
        <v>14</v>
      </c>
      <c r="B537" s="4" t="s">
        <v>1056</v>
      </c>
      <c r="C537" s="4">
        <v>521679</v>
      </c>
      <c r="D537" s="5">
        <v>45727</v>
      </c>
      <c r="E537" s="4">
        <v>800091549</v>
      </c>
      <c r="F537" s="4" t="s">
        <v>408</v>
      </c>
      <c r="G537" s="4">
        <v>901907732</v>
      </c>
      <c r="H537" s="4" t="s">
        <v>427</v>
      </c>
      <c r="I537" s="6">
        <v>884308</v>
      </c>
      <c r="J537" s="6">
        <v>0</v>
      </c>
      <c r="K537" s="6">
        <v>0</v>
      </c>
      <c r="L537" s="6">
        <v>0</v>
      </c>
      <c r="M537" s="6">
        <v>0</v>
      </c>
      <c r="N537" s="6">
        <v>884308</v>
      </c>
    </row>
    <row r="538" spans="1:14" x14ac:dyDescent="0.2">
      <c r="A538" s="4" t="s">
        <v>14</v>
      </c>
      <c r="B538" s="4" t="s">
        <v>1057</v>
      </c>
      <c r="C538" s="4">
        <v>21437</v>
      </c>
      <c r="D538" s="5">
        <v>45727</v>
      </c>
      <c r="E538" s="4">
        <v>811000784</v>
      </c>
      <c r="F538" s="4" t="s">
        <v>456</v>
      </c>
      <c r="G538" s="4">
        <v>901907732</v>
      </c>
      <c r="H538" s="4" t="s">
        <v>16</v>
      </c>
      <c r="I538" s="6">
        <v>350000</v>
      </c>
      <c r="J538" s="6">
        <v>0</v>
      </c>
      <c r="K538" s="6">
        <v>0</v>
      </c>
      <c r="L538" s="6">
        <v>0</v>
      </c>
      <c r="M538" s="6">
        <v>0</v>
      </c>
      <c r="N538" s="6">
        <v>350000</v>
      </c>
    </row>
    <row r="539" spans="1:14" x14ac:dyDescent="0.2">
      <c r="A539" s="4" t="s">
        <v>14</v>
      </c>
      <c r="B539" s="4" t="s">
        <v>1058</v>
      </c>
      <c r="C539" s="4">
        <v>1220</v>
      </c>
      <c r="D539" s="5">
        <v>45724</v>
      </c>
      <c r="E539" s="4">
        <v>93397337</v>
      </c>
      <c r="F539" s="4" t="s">
        <v>525</v>
      </c>
      <c r="G539" s="4">
        <v>901907732</v>
      </c>
      <c r="H539" s="4" t="s">
        <v>16</v>
      </c>
      <c r="I539" s="6">
        <v>100000</v>
      </c>
      <c r="J539" s="6">
        <v>0</v>
      </c>
      <c r="K539" s="6">
        <v>0</v>
      </c>
      <c r="L539" s="6">
        <v>0</v>
      </c>
      <c r="M539" s="6">
        <v>0</v>
      </c>
      <c r="N539" s="6">
        <v>100000</v>
      </c>
    </row>
    <row r="540" spans="1:14" x14ac:dyDescent="0.2">
      <c r="A540" s="4" t="s">
        <v>14</v>
      </c>
      <c r="B540" s="4" t="s">
        <v>1059</v>
      </c>
      <c r="C540" s="4">
        <v>1219</v>
      </c>
      <c r="D540" s="5">
        <v>45716</v>
      </c>
      <c r="E540" s="4">
        <v>93397337</v>
      </c>
      <c r="F540" s="4" t="s">
        <v>525</v>
      </c>
      <c r="G540" s="4">
        <v>901907732</v>
      </c>
      <c r="H540" s="4" t="s">
        <v>16</v>
      </c>
      <c r="I540" s="6">
        <v>760000</v>
      </c>
      <c r="J540" s="6">
        <v>0</v>
      </c>
      <c r="K540" s="6">
        <v>0</v>
      </c>
      <c r="L540" s="6">
        <v>0</v>
      </c>
      <c r="M540" s="6">
        <v>0</v>
      </c>
      <c r="N540" s="6">
        <v>760000</v>
      </c>
    </row>
    <row r="541" spans="1:14" x14ac:dyDescent="0.2">
      <c r="A541" s="4" t="s">
        <v>14</v>
      </c>
      <c r="B541" s="4" t="s">
        <v>1060</v>
      </c>
      <c r="C541" s="4">
        <v>6012</v>
      </c>
      <c r="D541" s="5">
        <v>45715</v>
      </c>
      <c r="E541" s="4">
        <v>900762275</v>
      </c>
      <c r="F541" s="4" t="s">
        <v>532</v>
      </c>
      <c r="G541" s="4">
        <v>901907732</v>
      </c>
      <c r="H541" s="4" t="s">
        <v>16</v>
      </c>
      <c r="I541" s="6">
        <v>705000</v>
      </c>
      <c r="J541" s="6">
        <v>0</v>
      </c>
      <c r="K541" s="6">
        <v>0</v>
      </c>
      <c r="L541" s="6">
        <v>0</v>
      </c>
      <c r="M541" s="6">
        <v>0</v>
      </c>
      <c r="N541" s="6">
        <v>705000</v>
      </c>
    </row>
    <row r="542" spans="1:14" x14ac:dyDescent="0.2">
      <c r="A542" s="4" t="s">
        <v>14</v>
      </c>
      <c r="B542" s="4" t="s">
        <v>1061</v>
      </c>
      <c r="C542" s="4">
        <v>516120</v>
      </c>
      <c r="D542" s="5">
        <v>45706</v>
      </c>
      <c r="E542" s="4">
        <v>800091549</v>
      </c>
      <c r="F542" s="4" t="s">
        <v>408</v>
      </c>
      <c r="G542" s="4">
        <v>901907732</v>
      </c>
      <c r="H542" s="4" t="s">
        <v>427</v>
      </c>
      <c r="I542" s="6">
        <v>1392533</v>
      </c>
      <c r="J542" s="6">
        <v>0</v>
      </c>
      <c r="K542" s="6">
        <v>0</v>
      </c>
      <c r="L542" s="6">
        <v>0</v>
      </c>
      <c r="M542" s="6">
        <v>0</v>
      </c>
      <c r="N542" s="6">
        <v>1392533</v>
      </c>
    </row>
    <row r="543" spans="1:14" x14ac:dyDescent="0.2">
      <c r="A543" s="4" t="s">
        <v>14</v>
      </c>
      <c r="B543" s="4" t="s">
        <v>1062</v>
      </c>
      <c r="C543" s="4">
        <v>1242913</v>
      </c>
      <c r="D543" s="5">
        <v>45705</v>
      </c>
      <c r="E543" s="4">
        <v>830048145</v>
      </c>
      <c r="F543" s="4" t="s">
        <v>1063</v>
      </c>
      <c r="G543" s="4">
        <v>901907732</v>
      </c>
      <c r="H543" s="4" t="s">
        <v>16</v>
      </c>
      <c r="I543" s="6">
        <v>1767455</v>
      </c>
      <c r="J543" s="6">
        <v>0</v>
      </c>
      <c r="K543" s="6">
        <v>0</v>
      </c>
      <c r="L543" s="6">
        <v>0</v>
      </c>
      <c r="M543" s="6">
        <v>0</v>
      </c>
      <c r="N543" s="6">
        <v>1767455</v>
      </c>
    </row>
    <row r="544" spans="1:14" x14ac:dyDescent="0.2">
      <c r="A544" s="4" t="s">
        <v>14</v>
      </c>
      <c r="B544" s="4" t="s">
        <v>1064</v>
      </c>
      <c r="C544" s="4">
        <v>514779</v>
      </c>
      <c r="D544" s="5">
        <v>45701</v>
      </c>
      <c r="E544" s="4">
        <v>800091549</v>
      </c>
      <c r="F544" s="4" t="s">
        <v>408</v>
      </c>
      <c r="G544" s="4">
        <v>901907732</v>
      </c>
      <c r="H544" s="4" t="s">
        <v>427</v>
      </c>
      <c r="I544" s="6">
        <v>1067894</v>
      </c>
      <c r="J544" s="6">
        <v>0</v>
      </c>
      <c r="K544" s="6">
        <v>0</v>
      </c>
      <c r="L544" s="6">
        <v>0</v>
      </c>
      <c r="M544" s="6">
        <v>0</v>
      </c>
      <c r="N544" s="6">
        <v>1067894</v>
      </c>
    </row>
    <row r="545" spans="1:15" x14ac:dyDescent="0.2">
      <c r="A545" s="4" t="s">
        <v>14</v>
      </c>
      <c r="B545" s="4" t="s">
        <v>1065</v>
      </c>
      <c r="C545" s="4">
        <v>514778</v>
      </c>
      <c r="D545" s="5">
        <v>45701</v>
      </c>
      <c r="E545" s="4">
        <v>800091549</v>
      </c>
      <c r="F545" s="4" t="s">
        <v>408</v>
      </c>
      <c r="G545" s="4">
        <v>901907732</v>
      </c>
      <c r="H545" s="4" t="s">
        <v>427</v>
      </c>
      <c r="I545" s="6">
        <v>110838</v>
      </c>
      <c r="J545" s="6">
        <v>0</v>
      </c>
      <c r="K545" s="6">
        <v>0</v>
      </c>
      <c r="L545" s="6">
        <v>0</v>
      </c>
      <c r="M545" s="6">
        <v>0</v>
      </c>
      <c r="N545" s="6">
        <v>110838</v>
      </c>
    </row>
    <row r="546" spans="1:15" x14ac:dyDescent="0.2">
      <c r="A546" s="4" t="s">
        <v>14</v>
      </c>
      <c r="B546" s="4" t="s">
        <v>1066</v>
      </c>
      <c r="C546" s="4">
        <v>514770</v>
      </c>
      <c r="D546" s="5">
        <v>45701</v>
      </c>
      <c r="E546" s="4">
        <v>800091549</v>
      </c>
      <c r="F546" s="4" t="s">
        <v>408</v>
      </c>
      <c r="G546" s="4">
        <v>901907732</v>
      </c>
      <c r="H546" s="4" t="s">
        <v>427</v>
      </c>
      <c r="I546" s="6">
        <v>321429</v>
      </c>
      <c r="J546" s="6">
        <v>0</v>
      </c>
      <c r="K546" s="6">
        <v>0</v>
      </c>
      <c r="L546" s="6">
        <v>0</v>
      </c>
      <c r="M546" s="6">
        <v>0</v>
      </c>
      <c r="N546" s="6">
        <v>321429</v>
      </c>
    </row>
    <row r="547" spans="1:15" x14ac:dyDescent="0.2">
      <c r="A547" s="4" t="s">
        <v>14</v>
      </c>
      <c r="B547" s="4" t="s">
        <v>1067</v>
      </c>
      <c r="C547" s="4">
        <v>514767</v>
      </c>
      <c r="D547" s="5">
        <v>45701</v>
      </c>
      <c r="E547" s="4">
        <v>800091549</v>
      </c>
      <c r="F547" s="4" t="s">
        <v>408</v>
      </c>
      <c r="G547" s="4">
        <v>901907732</v>
      </c>
      <c r="H547" s="4" t="s">
        <v>427</v>
      </c>
      <c r="I547" s="6">
        <v>1125694</v>
      </c>
      <c r="J547" s="6">
        <v>0</v>
      </c>
      <c r="K547" s="6">
        <v>0</v>
      </c>
      <c r="L547" s="6">
        <v>0</v>
      </c>
      <c r="M547" s="6">
        <v>0</v>
      </c>
      <c r="N547" s="6">
        <v>1125694</v>
      </c>
    </row>
    <row r="548" spans="1:15" x14ac:dyDescent="0.2">
      <c r="A548" s="4" t="s">
        <v>14</v>
      </c>
      <c r="B548" s="4" t="s">
        <v>1068</v>
      </c>
      <c r="C548" s="4">
        <v>514765</v>
      </c>
      <c r="D548" s="5">
        <v>45701</v>
      </c>
      <c r="E548" s="4">
        <v>800091549</v>
      </c>
      <c r="F548" s="4" t="s">
        <v>408</v>
      </c>
      <c r="G548" s="4">
        <v>901907732</v>
      </c>
      <c r="H548" s="4" t="s">
        <v>427</v>
      </c>
      <c r="I548" s="6">
        <v>884969</v>
      </c>
      <c r="J548" s="6">
        <v>0</v>
      </c>
      <c r="K548" s="6">
        <v>0</v>
      </c>
      <c r="L548" s="6">
        <v>0</v>
      </c>
      <c r="M548" s="6">
        <v>0</v>
      </c>
      <c r="N548" s="6">
        <v>884969</v>
      </c>
    </row>
    <row r="549" spans="1:15" x14ac:dyDescent="0.2">
      <c r="A549" s="4" t="s">
        <v>14</v>
      </c>
      <c r="B549" s="4" t="s">
        <v>1069</v>
      </c>
      <c r="C549" s="4">
        <v>514763</v>
      </c>
      <c r="D549" s="5">
        <v>45701</v>
      </c>
      <c r="E549" s="4">
        <v>800091549</v>
      </c>
      <c r="F549" s="4" t="s">
        <v>408</v>
      </c>
      <c r="G549" s="4">
        <v>901907732</v>
      </c>
      <c r="H549" s="4" t="s">
        <v>427</v>
      </c>
      <c r="I549" s="6">
        <v>356757</v>
      </c>
      <c r="J549" s="6">
        <v>0</v>
      </c>
      <c r="K549" s="6">
        <v>0</v>
      </c>
      <c r="L549" s="6">
        <v>0</v>
      </c>
      <c r="M549" s="6">
        <v>0</v>
      </c>
      <c r="N549" s="6">
        <v>356757</v>
      </c>
    </row>
    <row r="550" spans="1:15" x14ac:dyDescent="0.2">
      <c r="A550" s="4" t="s">
        <v>14</v>
      </c>
      <c r="B550" s="4" t="s">
        <v>1070</v>
      </c>
      <c r="C550" s="4">
        <v>514759</v>
      </c>
      <c r="D550" s="5">
        <v>45701</v>
      </c>
      <c r="E550" s="4">
        <v>800091549</v>
      </c>
      <c r="F550" s="4" t="s">
        <v>408</v>
      </c>
      <c r="G550" s="4">
        <v>901907732</v>
      </c>
      <c r="H550" s="4" t="s">
        <v>427</v>
      </c>
      <c r="I550" s="6">
        <v>459976</v>
      </c>
      <c r="J550" s="6">
        <v>0</v>
      </c>
      <c r="K550" s="6">
        <v>0</v>
      </c>
      <c r="L550" s="6">
        <v>0</v>
      </c>
      <c r="M550" s="6">
        <v>0</v>
      </c>
      <c r="N550" s="6">
        <v>459976</v>
      </c>
    </row>
    <row r="551" spans="1:15" x14ac:dyDescent="0.2">
      <c r="A551" s="4" t="s">
        <v>14</v>
      </c>
      <c r="B551" s="4" t="s">
        <v>1071</v>
      </c>
      <c r="C551" s="4">
        <v>514758</v>
      </c>
      <c r="D551" s="5">
        <v>45701</v>
      </c>
      <c r="E551" s="4">
        <v>800091549</v>
      </c>
      <c r="F551" s="4" t="s">
        <v>408</v>
      </c>
      <c r="G551" s="4">
        <v>901907732</v>
      </c>
      <c r="H551" s="4" t="s">
        <v>427</v>
      </c>
      <c r="I551" s="6">
        <v>594350</v>
      </c>
      <c r="J551" s="6">
        <v>0</v>
      </c>
      <c r="K551" s="6">
        <v>0</v>
      </c>
      <c r="L551" s="6">
        <v>0</v>
      </c>
      <c r="M551" s="6">
        <v>0</v>
      </c>
      <c r="N551" s="6">
        <v>594350</v>
      </c>
    </row>
    <row r="552" spans="1:15" x14ac:dyDescent="0.2">
      <c r="A552" s="4" t="s">
        <v>14</v>
      </c>
      <c r="B552" s="4" t="s">
        <v>1072</v>
      </c>
      <c r="C552" s="4">
        <v>514754</v>
      </c>
      <c r="D552" s="5">
        <v>45701</v>
      </c>
      <c r="E552" s="4">
        <v>800091549</v>
      </c>
      <c r="F552" s="4" t="s">
        <v>408</v>
      </c>
      <c r="G552" s="4">
        <v>901907732</v>
      </c>
      <c r="H552" s="4" t="s">
        <v>427</v>
      </c>
      <c r="I552" s="6">
        <v>706719</v>
      </c>
      <c r="J552" s="6">
        <v>0</v>
      </c>
      <c r="K552" s="6">
        <v>0</v>
      </c>
      <c r="L552" s="6">
        <v>0</v>
      </c>
      <c r="M552" s="6">
        <v>0</v>
      </c>
      <c r="N552" s="6">
        <v>706719</v>
      </c>
    </row>
    <row r="553" spans="1:15" x14ac:dyDescent="0.2">
      <c r="A553" s="4" t="s">
        <v>14</v>
      </c>
      <c r="B553" s="4" t="s">
        <v>1073</v>
      </c>
      <c r="C553" s="4">
        <v>514753</v>
      </c>
      <c r="D553" s="5">
        <v>45701</v>
      </c>
      <c r="E553" s="4">
        <v>800091549</v>
      </c>
      <c r="F553" s="4" t="s">
        <v>408</v>
      </c>
      <c r="G553" s="4">
        <v>901907732</v>
      </c>
      <c r="H553" s="4" t="s">
        <v>427</v>
      </c>
      <c r="I553" s="6">
        <v>2699935</v>
      </c>
      <c r="J553" s="6">
        <v>0</v>
      </c>
      <c r="K553" s="6">
        <v>0</v>
      </c>
      <c r="L553" s="6">
        <v>0</v>
      </c>
      <c r="M553" s="6">
        <v>0</v>
      </c>
      <c r="N553" s="6">
        <v>2699935</v>
      </c>
    </row>
    <row r="554" spans="1:15" x14ac:dyDescent="0.2">
      <c r="A554" s="4" t="s">
        <v>14</v>
      </c>
      <c r="B554" s="4" t="s">
        <v>1074</v>
      </c>
      <c r="C554" s="4">
        <v>514752</v>
      </c>
      <c r="D554" s="5">
        <v>45701</v>
      </c>
      <c r="E554" s="4">
        <v>800091549</v>
      </c>
      <c r="F554" s="4" t="s">
        <v>408</v>
      </c>
      <c r="G554" s="4">
        <v>901907732</v>
      </c>
      <c r="H554" s="4" t="s">
        <v>427</v>
      </c>
      <c r="I554" s="6">
        <v>692735</v>
      </c>
      <c r="J554" s="6">
        <v>0</v>
      </c>
      <c r="K554" s="6">
        <v>0</v>
      </c>
      <c r="L554" s="6">
        <v>0</v>
      </c>
      <c r="M554" s="6">
        <v>0</v>
      </c>
      <c r="N554" s="6">
        <v>692735</v>
      </c>
    </row>
    <row r="555" spans="1:15" x14ac:dyDescent="0.2">
      <c r="A555" s="12" t="s">
        <v>14</v>
      </c>
      <c r="B555" s="12" t="s">
        <v>409</v>
      </c>
      <c r="C555" s="12">
        <v>1</v>
      </c>
      <c r="D555" s="13">
        <v>45734</v>
      </c>
      <c r="E555" s="12">
        <v>901907732</v>
      </c>
      <c r="F555" s="12" t="s">
        <v>16</v>
      </c>
      <c r="G555" s="12">
        <v>1128425089</v>
      </c>
      <c r="H555" s="12" t="s">
        <v>410</v>
      </c>
      <c r="I555" s="14">
        <f>+N555-M555-L555-K555-J555</f>
        <v>321000</v>
      </c>
      <c r="J555" s="14">
        <v>0</v>
      </c>
      <c r="K555" s="14">
        <v>0</v>
      </c>
      <c r="L555" s="14">
        <v>0</v>
      </c>
      <c r="M555" s="14">
        <v>0</v>
      </c>
      <c r="N555" s="14">
        <v>321000</v>
      </c>
      <c r="O555" s="15" t="s">
        <v>1083</v>
      </c>
    </row>
  </sheetData>
  <autoFilter ref="A1:N554" xr:uid="{36EAE52C-3AE1-4A5A-A470-EC87DF2E3F0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5716-F886-4358-902C-D5006820D57D}">
  <dimension ref="A1:L25"/>
  <sheetViews>
    <sheetView tabSelected="1" topLeftCell="A3" workbookViewId="0">
      <selection activeCell="H12" sqref="H12"/>
    </sheetView>
  </sheetViews>
  <sheetFormatPr baseColWidth="10" defaultRowHeight="15" x14ac:dyDescent="0.25"/>
  <cols>
    <col min="1" max="1" width="14.28515625" customWidth="1"/>
    <col min="2" max="6" width="15.28515625" customWidth="1"/>
    <col min="7" max="7" width="3.85546875" customWidth="1"/>
    <col min="8" max="8" width="38.140625" customWidth="1"/>
    <col min="9" max="12" width="15.28515625" customWidth="1"/>
  </cols>
  <sheetData>
    <row r="1" spans="1:12" ht="18.75" x14ac:dyDescent="0.3">
      <c r="A1" s="18" t="s">
        <v>1085</v>
      </c>
    </row>
    <row r="2" spans="1:12" x14ac:dyDescent="0.25">
      <c r="A2" s="19" t="s">
        <v>1086</v>
      </c>
    </row>
    <row r="4" spans="1:12" x14ac:dyDescent="0.25">
      <c r="A4" s="21" t="s">
        <v>1087</v>
      </c>
      <c r="B4" s="21" t="s">
        <v>1088</v>
      </c>
      <c r="C4" s="21" t="s">
        <v>1089</v>
      </c>
      <c r="D4" s="21" t="s">
        <v>9</v>
      </c>
      <c r="E4" s="21" t="s">
        <v>13</v>
      </c>
      <c r="F4" s="21" t="s">
        <v>1090</v>
      </c>
      <c r="H4" s="21" t="s">
        <v>1092</v>
      </c>
      <c r="I4" s="21" t="s">
        <v>1093</v>
      </c>
      <c r="J4" s="21" t="s">
        <v>1088</v>
      </c>
      <c r="K4" s="21" t="s">
        <v>13</v>
      </c>
      <c r="L4" s="21" t="s">
        <v>1090</v>
      </c>
    </row>
    <row r="5" spans="1:12" x14ac:dyDescent="0.25">
      <c r="A5" s="22">
        <f>DATE(2025,2,1)</f>
        <v>45689</v>
      </c>
      <c r="B5" s="23">
        <f>COUNTIFS(Costos!$D:$D,"&gt;="&amp;A5,Costos!$D:$D,"&lt;"&amp;EDATE(A5,1))</f>
        <v>15</v>
      </c>
      <c r="C5" s="24">
        <f>SUMIFS(Costos!$I:$I,Costos!$D:$D,"&gt;="&amp;A5,Costos!$D:$D,"&lt;"&amp;EDATE(A5,1))</f>
        <v>13646284</v>
      </c>
      <c r="D5" s="24">
        <f>SUMIFS(Costos!$J:$J,Costos!$D:$D,"&gt;="&amp;A5,Costos!$D:$D,"&lt;"&amp;EDATE(A5,1))</f>
        <v>0</v>
      </c>
      <c r="E5" s="26">
        <f>SUMIFS(Costos!$N:$N,Costos!$D:$D,"&gt;="&amp;A5,Costos!$D:$D,"&lt;"&amp;EDATE(A5,1))</f>
        <v>13646284</v>
      </c>
      <c r="F5" s="27">
        <f>IFERROR(E5/$E$16,0)</f>
        <v>3.5534877854670799E-2</v>
      </c>
      <c r="H5" t="s">
        <v>408</v>
      </c>
      <c r="I5" s="32">
        <v>800091549</v>
      </c>
      <c r="J5" s="23">
        <f>COUNTIFS(Costos!$E:$E,I5)</f>
        <v>162</v>
      </c>
      <c r="K5" s="26">
        <f>SUMIFS(Costos!$N:$N,Costos!$E:$E,I5)</f>
        <v>166259481</v>
      </c>
      <c r="L5" s="27">
        <f>IFERROR(K5/$E$16,0)</f>
        <v>0.43293913196559297</v>
      </c>
    </row>
    <row r="6" spans="1:12" x14ac:dyDescent="0.25">
      <c r="A6" s="22">
        <f>EDATE(A5,1)</f>
        <v>45717</v>
      </c>
      <c r="B6" s="23">
        <f>COUNTIFS(Costos!$D:$D,"&gt;="&amp;A6,Costos!$D:$D,"&lt;"&amp;EDATE(A6,1))</f>
        <v>28</v>
      </c>
      <c r="C6" s="24">
        <f>SUMIFS(Costos!$I:$I,Costos!$D:$D,"&gt;="&amp;A6,Costos!$D:$D,"&lt;"&amp;EDATE(A6,1))</f>
        <v>20366240.879999999</v>
      </c>
      <c r="D6" s="24">
        <f>SUMIFS(Costos!$J:$J,Costos!$D:$D,"&gt;="&amp;A6,Costos!$D:$D,"&lt;"&amp;EDATE(A6,1))</f>
        <v>1397966.5799999998</v>
      </c>
      <c r="E6" s="26">
        <f>SUMIFS(Costos!$N:$N,Costos!$D:$D,"&gt;="&amp;A6,Costos!$D:$D,"&lt;"&amp;EDATE(A6,1))</f>
        <v>21764207.460000001</v>
      </c>
      <c r="F6" s="27">
        <f t="shared" ref="F6:F15" si="0">IFERROR(E6/$E$16,0)</f>
        <v>5.6673923369527923E-2</v>
      </c>
      <c r="H6" t="s">
        <v>429</v>
      </c>
      <c r="I6" s="32">
        <v>901649254</v>
      </c>
      <c r="J6" s="23">
        <f>COUNTIFS(Costos!$E:$E,I6)</f>
        <v>10</v>
      </c>
      <c r="K6" s="26">
        <f>SUMIFS(Costos!$N:$N,Costos!$E:$E,I6)</f>
        <v>62141980.680000007</v>
      </c>
      <c r="L6" s="27">
        <f t="shared" ref="L6:L14" si="1">IFERROR(K6/$E$16,0)</f>
        <v>0.16181750966864772</v>
      </c>
    </row>
    <row r="7" spans="1:12" x14ac:dyDescent="0.25">
      <c r="A7" s="22">
        <f>EDATE(A6,1)</f>
        <v>45748</v>
      </c>
      <c r="B7" s="23">
        <f>COUNTIFS(Costos!$D:$D,"&gt;="&amp;A7,Costos!$D:$D,"&lt;"&amp;EDATE(A7,1))</f>
        <v>47</v>
      </c>
      <c r="C7" s="24">
        <f>SUMIFS(Costos!$I:$I,Costos!$D:$D,"&gt;="&amp;A7,Costos!$D:$D,"&lt;"&amp;EDATE(A7,1))</f>
        <v>55238334.279999986</v>
      </c>
      <c r="D7" s="24">
        <f>SUMIFS(Costos!$J:$J,Costos!$D:$D,"&gt;="&amp;A7,Costos!$D:$D,"&lt;"&amp;EDATE(A7,1))</f>
        <v>1783437.45</v>
      </c>
      <c r="E7" s="26">
        <f>SUMIFS(Costos!$N:$N,Costos!$D:$D,"&gt;="&amp;A7,Costos!$D:$D,"&lt;"&amp;EDATE(A7,1))</f>
        <v>57100356.929999992</v>
      </c>
      <c r="F7" s="27">
        <f t="shared" si="0"/>
        <v>0.14868913830062858</v>
      </c>
      <c r="H7" t="s">
        <v>473</v>
      </c>
      <c r="I7" s="32">
        <v>901476410</v>
      </c>
      <c r="J7" s="23">
        <f>COUNTIFS(Costos!$E:$E,I7)</f>
        <v>43</v>
      </c>
      <c r="K7" s="26">
        <f>SUMIFS(Costos!$N:$N,Costos!$E:$E,I7)</f>
        <v>27995900</v>
      </c>
      <c r="L7" s="27">
        <f t="shared" si="1"/>
        <v>7.2901229882917445E-2</v>
      </c>
    </row>
    <row r="8" spans="1:12" x14ac:dyDescent="0.25">
      <c r="A8" s="22">
        <f t="shared" ref="A8:A15" si="2">EDATE(A7,1)</f>
        <v>45778</v>
      </c>
      <c r="B8" s="23">
        <f>COUNTIFS(Costos!$D:$D,"&gt;="&amp;A8,Costos!$D:$D,"&lt;"&amp;EDATE(A8,1))</f>
        <v>38</v>
      </c>
      <c r="C8" s="24">
        <f>SUMIFS(Costos!$I:$I,Costos!$D:$D,"&gt;="&amp;A8,Costos!$D:$D,"&lt;"&amp;EDATE(A8,1))</f>
        <v>22788363.099999998</v>
      </c>
      <c r="D8" s="24">
        <f>SUMIFS(Costos!$J:$J,Costos!$D:$D,"&gt;="&amp;A8,Costos!$D:$D,"&lt;"&amp;EDATE(A8,1))</f>
        <v>578569.4</v>
      </c>
      <c r="E8" s="26">
        <f>SUMIFS(Costos!$N:$N,Costos!$D:$D,"&gt;="&amp;A8,Costos!$D:$D,"&lt;"&amp;EDATE(A8,1))</f>
        <v>23382554.93</v>
      </c>
      <c r="F8" s="27">
        <f t="shared" si="0"/>
        <v>6.08880947639431E-2</v>
      </c>
      <c r="H8" t="s">
        <v>492</v>
      </c>
      <c r="I8" s="32">
        <v>901192317</v>
      </c>
      <c r="J8" s="23">
        <f>COUNTIFS(Costos!$E:$E,I8)</f>
        <v>22</v>
      </c>
      <c r="K8" s="26">
        <f>SUMIFS(Costos!$N:$N,Costos!$E:$E,I8)</f>
        <v>27900207.320000004</v>
      </c>
      <c r="L8" s="27">
        <f t="shared" si="1"/>
        <v>7.2652046464531453E-2</v>
      </c>
    </row>
    <row r="9" spans="1:12" x14ac:dyDescent="0.25">
      <c r="A9" s="22">
        <f t="shared" si="2"/>
        <v>45809</v>
      </c>
      <c r="B9" s="23">
        <f>COUNTIFS(Costos!$D:$D,"&gt;="&amp;A9,Costos!$D:$D,"&lt;"&amp;EDATE(A9,1))</f>
        <v>36</v>
      </c>
      <c r="C9" s="24">
        <f>SUMIFS(Costos!$I:$I,Costos!$D:$D,"&gt;="&amp;A9,Costos!$D:$D,"&lt;"&amp;EDATE(A9,1))</f>
        <v>18882527.82</v>
      </c>
      <c r="D9" s="24">
        <f>SUMIFS(Costos!$J:$J,Costos!$D:$D,"&gt;="&amp;A9,Costos!$D:$D,"&lt;"&amp;EDATE(A9,1))</f>
        <v>204863.51</v>
      </c>
      <c r="E9" s="26">
        <f>SUMIFS(Costos!$N:$N,Costos!$D:$D,"&gt;="&amp;A9,Costos!$D:$D,"&lt;"&amp;EDATE(A9,1))</f>
        <v>19090197.600000001</v>
      </c>
      <c r="F9" s="27">
        <f t="shared" si="0"/>
        <v>4.9710810645413044E-2</v>
      </c>
      <c r="H9" t="s">
        <v>790</v>
      </c>
      <c r="I9" s="32">
        <v>901334425</v>
      </c>
      <c r="J9" s="23">
        <f>COUNTIFS(Costos!$E:$E,I9)</f>
        <v>2</v>
      </c>
      <c r="K9" s="26">
        <f>SUMIFS(Costos!$N:$N,Costos!$E:$E,I9)</f>
        <v>14327984.75</v>
      </c>
      <c r="L9" s="27">
        <f t="shared" si="1"/>
        <v>3.731002432565788E-2</v>
      </c>
    </row>
    <row r="10" spans="1:12" x14ac:dyDescent="0.25">
      <c r="A10" s="22">
        <f t="shared" si="2"/>
        <v>45839</v>
      </c>
      <c r="B10" s="23">
        <f>COUNTIFS(Costos!$D:$D,"&gt;="&amp;A10,Costos!$D:$D,"&lt;"&amp;EDATE(A10,1))</f>
        <v>62</v>
      </c>
      <c r="C10" s="24">
        <f>SUMIFS(Costos!$I:$I,Costos!$D:$D,"&gt;="&amp;A10,Costos!$D:$D,"&lt;"&amp;EDATE(A10,1))</f>
        <v>29734615.52471</v>
      </c>
      <c r="D10" s="24">
        <f>SUMIFS(Costos!$J:$J,Costos!$D:$D,"&gt;="&amp;A10,Costos!$D:$D,"&lt;"&amp;EDATE(A10,1))</f>
        <v>1786912.5052899998</v>
      </c>
      <c r="E10" s="26">
        <f>SUMIFS(Costos!$N:$N,Costos!$D:$D,"&gt;="&amp;A10,Costos!$D:$D,"&lt;"&amp;EDATE(A10,1))</f>
        <v>31541539.519999996</v>
      </c>
      <c r="F10" s="27">
        <f t="shared" si="0"/>
        <v>8.2134063323866899E-2</v>
      </c>
      <c r="H10" t="s">
        <v>532</v>
      </c>
      <c r="I10" s="32">
        <v>900762275</v>
      </c>
      <c r="J10" s="23">
        <f>COUNTIFS(Costos!$E:$E,I10)</f>
        <v>14</v>
      </c>
      <c r="K10" s="26">
        <f>SUMIFS(Costos!$N:$N,Costos!$E:$E,I10)</f>
        <v>8247465.9399999995</v>
      </c>
      <c r="L10" s="27">
        <f t="shared" si="1"/>
        <v>2.1476373699129934E-2</v>
      </c>
    </row>
    <row r="11" spans="1:12" x14ac:dyDescent="0.25">
      <c r="A11" s="22">
        <f t="shared" si="2"/>
        <v>45870</v>
      </c>
      <c r="B11" s="23">
        <f>COUNTIFS(Costos!$D:$D,"&gt;="&amp;A11,Costos!$D:$D,"&lt;"&amp;EDATE(A11,1))</f>
        <v>56</v>
      </c>
      <c r="C11" s="24">
        <f>SUMIFS(Costos!$I:$I,Costos!$D:$D,"&gt;="&amp;A11,Costos!$D:$D,"&lt;"&amp;EDATE(A11,1))</f>
        <v>32656329.219999999</v>
      </c>
      <c r="D11" s="24">
        <f>SUMIFS(Costos!$J:$J,Costos!$D:$D,"&gt;="&amp;A11,Costos!$D:$D,"&lt;"&amp;EDATE(A11,1))</f>
        <v>1124381.6400000001</v>
      </c>
      <c r="E11" s="26">
        <f>SUMIFS(Costos!$N:$N,Costos!$D:$D,"&gt;="&amp;A11,Costos!$D:$D,"&lt;"&amp;EDATE(A11,1))</f>
        <v>33790703.270000003</v>
      </c>
      <c r="F11" s="27">
        <f t="shared" si="0"/>
        <v>8.7990878199726397E-2</v>
      </c>
      <c r="H11" t="s">
        <v>708</v>
      </c>
      <c r="I11" s="32">
        <v>900181068</v>
      </c>
      <c r="J11" s="23">
        <f>COUNTIFS(Costos!$E:$E,I11)</f>
        <v>6</v>
      </c>
      <c r="K11" s="26">
        <f>SUMIFS(Costos!$N:$N,Costos!$E:$E,I11)</f>
        <v>8071062.8799999999</v>
      </c>
      <c r="L11" s="27">
        <f t="shared" si="1"/>
        <v>2.1017020721404267E-2</v>
      </c>
    </row>
    <row r="12" spans="1:12" x14ac:dyDescent="0.25">
      <c r="A12" s="22">
        <f t="shared" si="2"/>
        <v>45901</v>
      </c>
      <c r="B12" s="23">
        <f>COUNTIFS(Costos!$D:$D,"&gt;="&amp;A12,Costos!$D:$D,"&lt;"&amp;EDATE(A12,1))</f>
        <v>66</v>
      </c>
      <c r="C12" s="24">
        <f>SUMIFS(Costos!$I:$I,Costos!$D:$D,"&gt;="&amp;A12,Costos!$D:$D,"&lt;"&amp;EDATE(A12,1))</f>
        <v>33979492.869999997</v>
      </c>
      <c r="D12" s="24">
        <f>SUMIFS(Costos!$J:$J,Costos!$D:$D,"&gt;="&amp;A12,Costos!$D:$D,"&lt;"&amp;EDATE(A12,1))</f>
        <v>3270844.6500000004</v>
      </c>
      <c r="E12" s="26">
        <f>SUMIFS(Costos!$N:$N,Costos!$D:$D,"&gt;="&amp;A12,Costos!$D:$D,"&lt;"&amp;EDATE(A12,1))</f>
        <v>37258736.909999996</v>
      </c>
      <c r="F12" s="27">
        <f t="shared" si="0"/>
        <v>9.7021626188943763E-2</v>
      </c>
      <c r="H12" t="s">
        <v>470</v>
      </c>
      <c r="I12" s="32">
        <v>700108357</v>
      </c>
      <c r="J12" s="23">
        <f>COUNTIFS(Costos!$E:$E,I12)</f>
        <v>38</v>
      </c>
      <c r="K12" s="26">
        <f>SUMIFS(Costos!$N:$N,Costos!$E:$E,I12)</f>
        <v>7221500</v>
      </c>
      <c r="L12" s="27">
        <f t="shared" si="1"/>
        <v>1.8804761825820505E-2</v>
      </c>
    </row>
    <row r="13" spans="1:12" x14ac:dyDescent="0.25">
      <c r="A13" s="22">
        <f t="shared" si="2"/>
        <v>45931</v>
      </c>
      <c r="B13" s="23">
        <f>COUNTIFS(Costos!$D:$D,"&gt;="&amp;A13,Costos!$D:$D,"&lt;"&amp;EDATE(A13,1))</f>
        <v>70</v>
      </c>
      <c r="C13" s="24">
        <f>SUMIFS(Costos!$I:$I,Costos!$D:$D,"&gt;="&amp;A13,Costos!$D:$D,"&lt;"&amp;EDATE(A13,1))</f>
        <v>37808640.75999999</v>
      </c>
      <c r="D13" s="24">
        <f>SUMIFS(Costos!$J:$J,Costos!$D:$D,"&gt;="&amp;A13,Costos!$D:$D,"&lt;"&amp;EDATE(A13,1))</f>
        <v>1276540.01</v>
      </c>
      <c r="E13" s="26">
        <f>SUMIFS(Costos!$N:$N,Costos!$D:$D,"&gt;="&amp;A13,Costos!$D:$D,"&lt;"&amp;EDATE(A13,1))</f>
        <v>39089142.560000002</v>
      </c>
      <c r="F13" s="27">
        <f t="shared" si="0"/>
        <v>0.10178799637420809</v>
      </c>
      <c r="H13" t="s">
        <v>525</v>
      </c>
      <c r="I13" s="32">
        <v>93397337</v>
      </c>
      <c r="J13" s="23">
        <f>COUNTIFS(Costos!$E:$E,I13)</f>
        <v>31</v>
      </c>
      <c r="K13" s="26">
        <f>SUMIFS(Costos!$N:$N,Costos!$E:$E,I13)</f>
        <v>6510000</v>
      </c>
      <c r="L13" s="27">
        <f t="shared" si="1"/>
        <v>1.6952018207587273E-2</v>
      </c>
    </row>
    <row r="14" spans="1:12" x14ac:dyDescent="0.25">
      <c r="A14" s="22">
        <f t="shared" si="2"/>
        <v>45962</v>
      </c>
      <c r="B14" s="23">
        <f>COUNTIFS(Costos!$D:$D,"&gt;="&amp;A14,Costos!$D:$D,"&lt;"&amp;EDATE(A14,1))</f>
        <v>64</v>
      </c>
      <c r="C14" s="24">
        <f>SUMIFS(Costos!$I:$I,Costos!$D:$D,"&gt;="&amp;A14,Costos!$D:$D,"&lt;"&amp;EDATE(A14,1))</f>
        <v>24941631.709999997</v>
      </c>
      <c r="D14" s="24">
        <f>SUMIFS(Costos!$J:$J,Costos!$D:$D,"&gt;="&amp;A14,Costos!$D:$D,"&lt;"&amp;EDATE(A14,1))</f>
        <v>2392934.6499999994</v>
      </c>
      <c r="E14" s="26">
        <f>SUMIFS(Costos!$N:$N,Costos!$D:$D,"&gt;="&amp;A14,Costos!$D:$D,"&lt;"&amp;EDATE(A14,1))</f>
        <v>27344365.189999998</v>
      </c>
      <c r="F14" s="27">
        <f t="shared" si="0"/>
        <v>7.1204635418709E-2</v>
      </c>
      <c r="H14" t="s">
        <v>646</v>
      </c>
      <c r="I14" s="32">
        <v>901718849</v>
      </c>
      <c r="J14" s="23">
        <f>COUNTIFS(Costos!$E:$E,I14)</f>
        <v>4</v>
      </c>
      <c r="K14" s="26">
        <f>SUMIFS(Costos!$N:$N,Costos!$E:$E,I14)</f>
        <v>5064232</v>
      </c>
      <c r="L14" s="27">
        <f t="shared" si="1"/>
        <v>1.3187243175337345E-2</v>
      </c>
    </row>
    <row r="15" spans="1:12" x14ac:dyDescent="0.25">
      <c r="A15" s="22">
        <f t="shared" si="2"/>
        <v>45992</v>
      </c>
      <c r="B15" s="23">
        <f>COUNTIFS(Costos!$D:$D,"&gt;="&amp;A15,Costos!$D:$D,"&lt;"&amp;EDATE(A15,1))</f>
        <v>72</v>
      </c>
      <c r="C15" s="24">
        <f>SUMIFS(Costos!$I:$I,Costos!$D:$D,"&gt;="&amp;A15,Costos!$D:$D,"&lt;"&amp;EDATE(A15,1))</f>
        <v>69061226.010000005</v>
      </c>
      <c r="D15" s="24">
        <f>SUMIFS(Costos!$J:$J,Costos!$D:$D,"&gt;="&amp;A15,Costos!$D:$D,"&lt;"&amp;EDATE(A15,1))</f>
        <v>10952719.500000004</v>
      </c>
      <c r="E15" s="26">
        <f>SUMIFS(Costos!$N:$N,Costos!$D:$D,"&gt;="&amp;A15,Costos!$D:$D,"&lt;"&amp;EDATE(A15,1))</f>
        <v>80016982.87999998</v>
      </c>
      <c r="F15" s="27">
        <f t="shared" si="0"/>
        <v>0.20836395556036233</v>
      </c>
      <c r="H15" s="33" t="s">
        <v>1094</v>
      </c>
      <c r="J15" s="34">
        <f>B16-SUM(J5:J14)</f>
        <v>222</v>
      </c>
      <c r="K15" s="35">
        <f>E16-SUM(K5:K14)</f>
        <v>50285256.680000007</v>
      </c>
      <c r="L15" s="36">
        <f>IFERROR(K15/$E$16,0)</f>
        <v>0.13094264006337322</v>
      </c>
    </row>
    <row r="16" spans="1:12" x14ac:dyDescent="0.25">
      <c r="A16" s="28" t="s">
        <v>1091</v>
      </c>
      <c r="B16" s="29">
        <f>SUM(B5:B15)</f>
        <v>554</v>
      </c>
      <c r="C16" s="30">
        <f>SUM(C5:C15)</f>
        <v>359103686.17470998</v>
      </c>
      <c r="D16" s="30">
        <f>SUM(D5:D15)</f>
        <v>24769169.895290002</v>
      </c>
      <c r="E16" s="30">
        <f>SUM(E5:E15)</f>
        <v>384025071.25</v>
      </c>
      <c r="F16" s="31">
        <f>IFERROR(E16/$E$16,0)</f>
        <v>1</v>
      </c>
      <c r="H16" s="28" t="s">
        <v>1091</v>
      </c>
      <c r="I16" s="37"/>
      <c r="J16" s="29">
        <f>SUM(J5:J15)</f>
        <v>554</v>
      </c>
      <c r="K16" s="30">
        <f>SUM(K5:K15)</f>
        <v>384025071.25</v>
      </c>
      <c r="L16" s="31">
        <f>IFERROR(K16/$E$16,0)</f>
        <v>1</v>
      </c>
    </row>
    <row r="19" spans="8:9" x14ac:dyDescent="0.25">
      <c r="H19" s="20" t="s">
        <v>1095</v>
      </c>
      <c r="I19" s="38"/>
    </row>
    <row r="20" spans="8:9" x14ac:dyDescent="0.25">
      <c r="H20" t="s">
        <v>1096</v>
      </c>
      <c r="I20" s="39">
        <f>E16</f>
        <v>384025071.25</v>
      </c>
    </row>
    <row r="21" spans="8:9" x14ac:dyDescent="0.25">
      <c r="H21" t="s">
        <v>1097</v>
      </c>
      <c r="I21" s="40">
        <f>B16</f>
        <v>554</v>
      </c>
    </row>
    <row r="22" spans="8:9" x14ac:dyDescent="0.25">
      <c r="H22" t="s">
        <v>1098</v>
      </c>
      <c r="I22" s="39">
        <f>AVERAGE(E5:E15)</f>
        <v>34911370.113636367</v>
      </c>
    </row>
    <row r="23" spans="8:9" x14ac:dyDescent="0.25">
      <c r="H23" t="s">
        <v>1099</v>
      </c>
      <c r="I23" s="39">
        <f>E16/B16</f>
        <v>693186.04918772564</v>
      </c>
    </row>
    <row r="24" spans="8:9" x14ac:dyDescent="0.25">
      <c r="H24" t="s">
        <v>1100</v>
      </c>
      <c r="I24" s="41">
        <f>INDEX(A5:A15,MATCH(MAX(E5:E15),E5:E15,0))</f>
        <v>45992</v>
      </c>
    </row>
    <row r="25" spans="8:9" x14ac:dyDescent="0.25">
      <c r="H25" t="s">
        <v>1101</v>
      </c>
      <c r="I25" s="25" t="str">
        <f>H5&amp;" ("&amp;TEXT(L5,"0.0%")&amp;")"</f>
        <v>IMPRESISTEM S A S (43.3%)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C837-0469-4478-92E7-AE7C68AF7F4F}">
  <dimension ref="A1:L80"/>
  <sheetViews>
    <sheetView workbookViewId="0">
      <selection activeCell="A6" sqref="A6"/>
    </sheetView>
  </sheetViews>
  <sheetFormatPr baseColWidth="10" defaultColWidth="11.5703125" defaultRowHeight="12" x14ac:dyDescent="0.2"/>
  <cols>
    <col min="1" max="1" width="10.28515625" style="7" bestFit="1" customWidth="1"/>
    <col min="2" max="2" width="57.7109375" style="7" bestFit="1" customWidth="1"/>
    <col min="3" max="3" width="14.140625" style="7" bestFit="1" customWidth="1"/>
    <col min="4" max="4" width="9.42578125" style="7" bestFit="1" customWidth="1"/>
    <col min="5" max="5" width="8.28515625" style="7" bestFit="1" customWidth="1"/>
    <col min="6" max="6" width="9.42578125" style="7" bestFit="1" customWidth="1"/>
    <col min="7" max="7" width="14.140625" style="7" bestFit="1" customWidth="1"/>
    <col min="8" max="16384" width="11.5703125" style="7"/>
  </cols>
  <sheetData>
    <row r="1" spans="1:7" x14ac:dyDescent="0.2">
      <c r="A1" s="10" t="s">
        <v>4</v>
      </c>
      <c r="B1" s="10" t="s">
        <v>5</v>
      </c>
      <c r="C1" s="7" t="s">
        <v>424</v>
      </c>
      <c r="D1" s="7" t="s">
        <v>1075</v>
      </c>
      <c r="E1" s="7" t="s">
        <v>1076</v>
      </c>
      <c r="F1" s="7" t="s">
        <v>1077</v>
      </c>
      <c r="G1" s="7" t="s">
        <v>1078</v>
      </c>
    </row>
    <row r="2" spans="1:7" x14ac:dyDescent="0.2">
      <c r="A2" s="7">
        <v>3486666</v>
      </c>
      <c r="B2" s="7" t="s">
        <v>437</v>
      </c>
      <c r="C2" s="9">
        <v>3710000</v>
      </c>
      <c r="D2" s="9">
        <v>0</v>
      </c>
      <c r="E2" s="9">
        <v>0</v>
      </c>
      <c r="F2" s="9">
        <v>0</v>
      </c>
      <c r="G2" s="9">
        <v>0</v>
      </c>
    </row>
    <row r="3" spans="1:7" x14ac:dyDescent="0.2">
      <c r="A3" s="7">
        <v>8026157</v>
      </c>
      <c r="B3" s="7" t="s">
        <v>813</v>
      </c>
      <c r="C3" s="9">
        <v>207000</v>
      </c>
      <c r="D3" s="9">
        <v>39330</v>
      </c>
      <c r="E3" s="9">
        <v>0</v>
      </c>
      <c r="F3" s="9">
        <v>0</v>
      </c>
      <c r="G3" s="9">
        <v>0</v>
      </c>
    </row>
    <row r="4" spans="1:7" x14ac:dyDescent="0.2">
      <c r="A4" s="7">
        <v>32257553</v>
      </c>
      <c r="B4" s="7" t="s">
        <v>935</v>
      </c>
      <c r="C4" s="9">
        <v>1500000</v>
      </c>
      <c r="D4" s="9">
        <v>0</v>
      </c>
      <c r="E4" s="9">
        <v>0</v>
      </c>
      <c r="F4" s="9">
        <v>0</v>
      </c>
      <c r="G4" s="9">
        <v>0</v>
      </c>
    </row>
    <row r="5" spans="1:7" x14ac:dyDescent="0.2">
      <c r="A5" s="7">
        <v>43645742</v>
      </c>
      <c r="B5" s="7" t="s">
        <v>622</v>
      </c>
      <c r="C5" s="9">
        <v>531092.37999999989</v>
      </c>
      <c r="D5" s="9">
        <v>100907.54999999999</v>
      </c>
      <c r="E5" s="9">
        <v>0</v>
      </c>
      <c r="F5" s="9">
        <v>0</v>
      </c>
      <c r="G5" s="9">
        <v>0</v>
      </c>
    </row>
    <row r="6" spans="1:7" x14ac:dyDescent="0.2">
      <c r="A6" s="7">
        <v>70561688</v>
      </c>
      <c r="B6" s="7" t="s">
        <v>433</v>
      </c>
      <c r="C6" s="9">
        <v>16000</v>
      </c>
      <c r="D6" s="9">
        <v>3040</v>
      </c>
      <c r="E6" s="9">
        <v>0</v>
      </c>
      <c r="F6" s="9">
        <v>0</v>
      </c>
      <c r="G6" s="9">
        <v>0</v>
      </c>
    </row>
    <row r="7" spans="1:7" x14ac:dyDescent="0.2">
      <c r="A7" s="7">
        <v>70780282</v>
      </c>
      <c r="B7" s="7" t="s">
        <v>565</v>
      </c>
      <c r="C7" s="9">
        <v>16000</v>
      </c>
      <c r="D7" s="9">
        <v>0</v>
      </c>
      <c r="E7" s="9">
        <v>0</v>
      </c>
      <c r="F7" s="9">
        <v>0</v>
      </c>
      <c r="G7" s="9">
        <v>0</v>
      </c>
    </row>
    <row r="8" spans="1:7" x14ac:dyDescent="0.2">
      <c r="A8" s="7">
        <v>70978458</v>
      </c>
      <c r="B8" s="7" t="s">
        <v>840</v>
      </c>
      <c r="C8" s="9">
        <v>29411.759999999998</v>
      </c>
      <c r="D8" s="9">
        <v>5588.23</v>
      </c>
      <c r="E8" s="9">
        <v>0</v>
      </c>
      <c r="F8" s="9">
        <v>0</v>
      </c>
      <c r="G8" s="9">
        <v>0</v>
      </c>
    </row>
    <row r="9" spans="1:7" x14ac:dyDescent="0.2">
      <c r="A9" s="7">
        <v>71388800</v>
      </c>
      <c r="B9" s="7" t="s">
        <v>944</v>
      </c>
      <c r="C9" s="9">
        <v>8403</v>
      </c>
      <c r="D9" s="9">
        <v>1597</v>
      </c>
      <c r="E9" s="9">
        <v>0</v>
      </c>
      <c r="F9" s="9">
        <v>0</v>
      </c>
      <c r="G9" s="9">
        <v>0</v>
      </c>
    </row>
    <row r="10" spans="1:7" x14ac:dyDescent="0.2">
      <c r="A10" s="7">
        <v>91076199</v>
      </c>
      <c r="B10" s="7" t="s">
        <v>650</v>
      </c>
      <c r="C10" s="9">
        <v>429411.77</v>
      </c>
      <c r="D10" s="9">
        <v>81588.23</v>
      </c>
      <c r="E10" s="9">
        <v>0</v>
      </c>
      <c r="F10" s="9">
        <v>0</v>
      </c>
      <c r="G10" s="9">
        <v>0</v>
      </c>
    </row>
    <row r="11" spans="1:7" x14ac:dyDescent="0.2">
      <c r="A11" s="7">
        <v>93397337</v>
      </c>
      <c r="B11" s="7" t="s">
        <v>525</v>
      </c>
      <c r="C11" s="9">
        <v>6510000</v>
      </c>
      <c r="D11" s="9">
        <v>0</v>
      </c>
      <c r="E11" s="9">
        <v>0</v>
      </c>
      <c r="F11" s="9">
        <v>0</v>
      </c>
      <c r="G11" s="9">
        <v>0</v>
      </c>
    </row>
    <row r="12" spans="1:7" x14ac:dyDescent="0.2">
      <c r="A12" s="7">
        <v>700108357</v>
      </c>
      <c r="B12" s="7" t="s">
        <v>470</v>
      </c>
      <c r="C12" s="9">
        <v>7221500</v>
      </c>
      <c r="D12" s="9">
        <v>0</v>
      </c>
      <c r="E12" s="9">
        <v>0</v>
      </c>
      <c r="F12" s="9">
        <v>0</v>
      </c>
      <c r="G12" s="9">
        <v>0</v>
      </c>
    </row>
    <row r="13" spans="1:7" x14ac:dyDescent="0.2">
      <c r="A13" s="7">
        <v>800091549</v>
      </c>
      <c r="B13" s="7" t="s">
        <v>408</v>
      </c>
      <c r="C13" s="9">
        <v>166193551</v>
      </c>
      <c r="D13" s="9">
        <v>65930</v>
      </c>
      <c r="E13" s="9">
        <v>0</v>
      </c>
      <c r="F13" s="9">
        <v>0</v>
      </c>
      <c r="G13" s="9">
        <v>0</v>
      </c>
    </row>
    <row r="14" spans="1:7" x14ac:dyDescent="0.2">
      <c r="A14" s="7">
        <v>800157387</v>
      </c>
      <c r="B14" s="7" t="s">
        <v>576</v>
      </c>
      <c r="C14" s="9">
        <v>38133.33</v>
      </c>
      <c r="D14" s="9">
        <v>0</v>
      </c>
      <c r="E14" s="9">
        <v>0</v>
      </c>
      <c r="F14" s="9">
        <v>1466.67</v>
      </c>
      <c r="G14" s="9">
        <v>0</v>
      </c>
    </row>
    <row r="15" spans="1:7" x14ac:dyDescent="0.2">
      <c r="A15" s="7">
        <v>800180330</v>
      </c>
      <c r="B15" s="7" t="s">
        <v>1022</v>
      </c>
      <c r="C15" s="9">
        <v>115079.62</v>
      </c>
      <c r="D15" s="9">
        <v>0</v>
      </c>
      <c r="E15" s="9">
        <v>0</v>
      </c>
      <c r="F15" s="9">
        <v>8370.3799999999992</v>
      </c>
      <c r="G15" s="9">
        <v>0</v>
      </c>
    </row>
    <row r="16" spans="1:7" x14ac:dyDescent="0.2">
      <c r="A16" s="7">
        <v>800251569</v>
      </c>
      <c r="B16" s="7" t="s">
        <v>710</v>
      </c>
      <c r="C16" s="9">
        <v>41300</v>
      </c>
      <c r="D16" s="9">
        <v>0</v>
      </c>
      <c r="E16" s="9">
        <v>0</v>
      </c>
      <c r="F16" s="9">
        <v>0</v>
      </c>
      <c r="G16" s="9">
        <v>0</v>
      </c>
    </row>
    <row r="17" spans="1:7" x14ac:dyDescent="0.2">
      <c r="A17" s="7">
        <v>811000784</v>
      </c>
      <c r="B17" s="7" t="s">
        <v>456</v>
      </c>
      <c r="C17" s="9">
        <v>1697058.82</v>
      </c>
      <c r="D17" s="9">
        <v>198941.18</v>
      </c>
      <c r="E17" s="9">
        <v>0</v>
      </c>
      <c r="F17" s="9">
        <v>0</v>
      </c>
      <c r="G17" s="9">
        <v>0</v>
      </c>
    </row>
    <row r="18" spans="1:7" x14ac:dyDescent="0.2">
      <c r="A18" s="7">
        <v>830048145</v>
      </c>
      <c r="B18" s="7" t="s">
        <v>1063</v>
      </c>
      <c r="C18" s="9">
        <v>1767455</v>
      </c>
      <c r="D18" s="9">
        <v>0</v>
      </c>
      <c r="E18" s="9">
        <v>0</v>
      </c>
      <c r="F18" s="9">
        <v>0</v>
      </c>
      <c r="G18" s="9">
        <v>0</v>
      </c>
    </row>
    <row r="19" spans="1:7" x14ac:dyDescent="0.2">
      <c r="A19" s="7">
        <v>830085336</v>
      </c>
      <c r="B19" s="7" t="s">
        <v>449</v>
      </c>
      <c r="C19" s="9">
        <v>2233613.5000000005</v>
      </c>
      <c r="D19" s="9">
        <v>424386.61</v>
      </c>
      <c r="E19" s="9">
        <v>0</v>
      </c>
      <c r="F19" s="9">
        <v>0</v>
      </c>
      <c r="G19" s="9">
        <v>0</v>
      </c>
    </row>
    <row r="20" spans="1:7" x14ac:dyDescent="0.2">
      <c r="A20" s="7">
        <v>830114921</v>
      </c>
      <c r="B20" s="7" t="s">
        <v>459</v>
      </c>
      <c r="C20" s="9">
        <v>1579168.5400000003</v>
      </c>
      <c r="D20" s="9">
        <v>300041.45000000007</v>
      </c>
      <c r="E20" s="9">
        <v>0</v>
      </c>
      <c r="F20" s="9">
        <v>28142.009999999995</v>
      </c>
      <c r="G20" s="9">
        <v>0</v>
      </c>
    </row>
    <row r="21" spans="1:7" x14ac:dyDescent="0.2">
      <c r="A21" s="7">
        <v>890901352</v>
      </c>
      <c r="B21" s="7" t="s">
        <v>985</v>
      </c>
      <c r="C21" s="9">
        <v>321600</v>
      </c>
      <c r="D21" s="9">
        <v>0</v>
      </c>
      <c r="E21" s="9">
        <v>0</v>
      </c>
      <c r="F21" s="9">
        <v>0</v>
      </c>
      <c r="G21" s="9">
        <v>0</v>
      </c>
    </row>
    <row r="22" spans="1:7" x14ac:dyDescent="0.2">
      <c r="A22" s="7">
        <v>890903407</v>
      </c>
      <c r="B22" s="7" t="s">
        <v>1018</v>
      </c>
      <c r="C22" s="9">
        <v>1058623</v>
      </c>
      <c r="D22" s="9">
        <v>201138.56</v>
      </c>
      <c r="E22" s="9">
        <v>0</v>
      </c>
      <c r="F22" s="9">
        <v>0</v>
      </c>
      <c r="G22" s="9">
        <v>0</v>
      </c>
    </row>
    <row r="23" spans="1:7" x14ac:dyDescent="0.2">
      <c r="A23" s="7">
        <v>890905080</v>
      </c>
      <c r="B23" s="7" t="s">
        <v>722</v>
      </c>
      <c r="C23" s="9">
        <v>58000</v>
      </c>
      <c r="D23" s="9">
        <v>0</v>
      </c>
      <c r="E23" s="9">
        <v>0</v>
      </c>
      <c r="F23" s="9">
        <v>0</v>
      </c>
      <c r="G23" s="9">
        <v>0</v>
      </c>
    </row>
    <row r="24" spans="1:7" x14ac:dyDescent="0.2">
      <c r="A24" s="7">
        <v>890941794</v>
      </c>
      <c r="B24" s="7" t="s">
        <v>515</v>
      </c>
      <c r="C24" s="9">
        <v>1519289</v>
      </c>
      <c r="D24" s="9">
        <v>288664.91000000003</v>
      </c>
      <c r="E24" s="9">
        <v>0</v>
      </c>
      <c r="F24" s="9">
        <v>0</v>
      </c>
      <c r="G24" s="9">
        <v>0</v>
      </c>
    </row>
    <row r="25" spans="1:7" x14ac:dyDescent="0.2">
      <c r="A25" s="7">
        <v>890942360</v>
      </c>
      <c r="B25" s="7" t="s">
        <v>603</v>
      </c>
      <c r="C25" s="9">
        <v>123436.80999999998</v>
      </c>
      <c r="D25" s="9">
        <v>670.57999999999993</v>
      </c>
      <c r="E25" s="9">
        <v>0</v>
      </c>
      <c r="F25" s="9">
        <v>9592.6</v>
      </c>
      <c r="G25" s="9">
        <v>0</v>
      </c>
    </row>
    <row r="26" spans="1:7" x14ac:dyDescent="0.2">
      <c r="A26" s="7">
        <v>890981683</v>
      </c>
      <c r="B26" s="7" t="s">
        <v>700</v>
      </c>
      <c r="C26" s="9">
        <v>21596.46</v>
      </c>
      <c r="D26" s="9">
        <v>4103.54</v>
      </c>
      <c r="E26" s="9">
        <v>0</v>
      </c>
      <c r="F26" s="9">
        <v>0</v>
      </c>
      <c r="G26" s="9">
        <v>0</v>
      </c>
    </row>
    <row r="27" spans="1:7" x14ac:dyDescent="0.2">
      <c r="A27" s="7">
        <v>900059238</v>
      </c>
      <c r="B27" s="7" t="s">
        <v>560</v>
      </c>
      <c r="C27" s="9">
        <v>318117.76000000001</v>
      </c>
      <c r="D27" s="9">
        <v>53289.24</v>
      </c>
      <c r="E27" s="9">
        <v>0</v>
      </c>
      <c r="F27" s="9">
        <v>0</v>
      </c>
      <c r="G27" s="9">
        <v>0</v>
      </c>
    </row>
    <row r="28" spans="1:7" x14ac:dyDescent="0.2">
      <c r="A28" s="7">
        <v>900127810</v>
      </c>
      <c r="B28" s="7" t="s">
        <v>624</v>
      </c>
      <c r="C28" s="9">
        <v>272226.82</v>
      </c>
      <c r="D28" s="9">
        <v>51723.090000000004</v>
      </c>
      <c r="E28" s="9">
        <v>0</v>
      </c>
      <c r="F28" s="9">
        <v>0</v>
      </c>
      <c r="G28" s="9">
        <v>0</v>
      </c>
    </row>
    <row r="29" spans="1:7" x14ac:dyDescent="0.2">
      <c r="A29" s="7">
        <v>900132642</v>
      </c>
      <c r="B29" s="7" t="s">
        <v>495</v>
      </c>
      <c r="C29" s="9">
        <v>30250</v>
      </c>
      <c r="D29" s="9">
        <v>5747.5</v>
      </c>
      <c r="E29" s="9">
        <v>0</v>
      </c>
      <c r="F29" s="9">
        <v>0</v>
      </c>
      <c r="G29" s="9">
        <v>0</v>
      </c>
    </row>
    <row r="30" spans="1:7" x14ac:dyDescent="0.2">
      <c r="A30" s="7">
        <v>900181068</v>
      </c>
      <c r="B30" s="7" t="s">
        <v>708</v>
      </c>
      <c r="C30" s="9">
        <v>6782405.7999999998</v>
      </c>
      <c r="D30" s="9">
        <v>1288657.0799999998</v>
      </c>
      <c r="E30" s="9">
        <v>0</v>
      </c>
      <c r="F30" s="9">
        <v>0</v>
      </c>
      <c r="G30" s="9">
        <v>0</v>
      </c>
    </row>
    <row r="31" spans="1:7" x14ac:dyDescent="0.2">
      <c r="A31" s="7">
        <v>900188685</v>
      </c>
      <c r="B31" s="7" t="s">
        <v>536</v>
      </c>
      <c r="C31" s="9">
        <v>1148519.0999999999</v>
      </c>
      <c r="D31" s="9">
        <v>218218.64</v>
      </c>
      <c r="E31" s="9">
        <v>0</v>
      </c>
      <c r="F31" s="9">
        <v>0</v>
      </c>
      <c r="G31" s="9">
        <v>0</v>
      </c>
    </row>
    <row r="32" spans="1:7" x14ac:dyDescent="0.2">
      <c r="A32" s="7">
        <v>900219834</v>
      </c>
      <c r="B32" s="7" t="s">
        <v>439</v>
      </c>
      <c r="C32" s="9">
        <v>433438.28</v>
      </c>
      <c r="D32" s="9">
        <v>25262.720000000001</v>
      </c>
      <c r="E32" s="9">
        <v>0</v>
      </c>
      <c r="F32" s="9">
        <v>0</v>
      </c>
      <c r="G32" s="9">
        <v>0</v>
      </c>
    </row>
    <row r="33" spans="1:7" x14ac:dyDescent="0.2">
      <c r="A33" s="7">
        <v>900243750</v>
      </c>
      <c r="B33" s="7" t="s">
        <v>605</v>
      </c>
      <c r="C33" s="9">
        <v>199663.59999999998</v>
      </c>
      <c r="D33" s="9">
        <v>34487.39</v>
      </c>
      <c r="E33" s="9">
        <v>0</v>
      </c>
      <c r="F33" s="9">
        <v>0</v>
      </c>
      <c r="G33" s="9">
        <v>0</v>
      </c>
    </row>
    <row r="34" spans="1:7" x14ac:dyDescent="0.2">
      <c r="A34" s="7">
        <v>900276962</v>
      </c>
      <c r="B34" s="7" t="s">
        <v>551</v>
      </c>
      <c r="C34" s="9">
        <v>394133.81999999995</v>
      </c>
      <c r="D34" s="9">
        <v>70804.179999999993</v>
      </c>
      <c r="E34" s="9">
        <v>5844</v>
      </c>
      <c r="F34" s="9">
        <v>0</v>
      </c>
      <c r="G34" s="9">
        <v>318</v>
      </c>
    </row>
    <row r="35" spans="1:7" x14ac:dyDescent="0.2">
      <c r="A35" s="7">
        <v>900363864</v>
      </c>
      <c r="B35" s="7" t="s">
        <v>503</v>
      </c>
      <c r="C35" s="9">
        <v>90336.13</v>
      </c>
      <c r="D35" s="9">
        <v>17163.87</v>
      </c>
      <c r="E35" s="9">
        <v>0</v>
      </c>
      <c r="F35" s="9">
        <v>0</v>
      </c>
      <c r="G35" s="9">
        <v>0</v>
      </c>
    </row>
    <row r="36" spans="1:7" x14ac:dyDescent="0.2">
      <c r="A36" s="7">
        <v>900378652</v>
      </c>
      <c r="B36" s="7" t="s">
        <v>543</v>
      </c>
      <c r="C36" s="9">
        <v>474794.98</v>
      </c>
      <c r="D36" s="9">
        <v>90211.03</v>
      </c>
      <c r="E36" s="9">
        <v>0</v>
      </c>
      <c r="F36" s="9">
        <v>0</v>
      </c>
      <c r="G36" s="9">
        <v>0</v>
      </c>
    </row>
    <row r="37" spans="1:7" x14ac:dyDescent="0.2">
      <c r="A37" s="7">
        <v>900407508</v>
      </c>
      <c r="B37" s="7" t="s">
        <v>1030</v>
      </c>
      <c r="C37" s="9">
        <v>974800</v>
      </c>
      <c r="D37" s="9">
        <v>185212</v>
      </c>
      <c r="E37" s="9">
        <v>0</v>
      </c>
      <c r="F37" s="9">
        <v>0</v>
      </c>
      <c r="G37" s="9">
        <v>0</v>
      </c>
    </row>
    <row r="38" spans="1:7" x14ac:dyDescent="0.2">
      <c r="A38" s="7">
        <v>900439301</v>
      </c>
      <c r="B38" s="7" t="s">
        <v>767</v>
      </c>
      <c r="C38" s="9">
        <v>295210.08999999997</v>
      </c>
      <c r="D38" s="9">
        <v>56089.91</v>
      </c>
      <c r="E38" s="9">
        <v>0</v>
      </c>
      <c r="F38" s="9">
        <v>0</v>
      </c>
      <c r="G38" s="9">
        <v>0</v>
      </c>
    </row>
    <row r="39" spans="1:7" x14ac:dyDescent="0.2">
      <c r="A39" s="7">
        <v>900449084</v>
      </c>
      <c r="B39" s="7" t="s">
        <v>820</v>
      </c>
      <c r="C39" s="9">
        <v>3824256</v>
      </c>
      <c r="D39" s="9">
        <v>726609</v>
      </c>
      <c r="E39" s="9">
        <v>0</v>
      </c>
      <c r="F39" s="9">
        <v>0</v>
      </c>
      <c r="G39" s="9">
        <v>0</v>
      </c>
    </row>
    <row r="40" spans="1:7" x14ac:dyDescent="0.2">
      <c r="A40" s="7">
        <v>900456873</v>
      </c>
      <c r="B40" s="7" t="s">
        <v>1035</v>
      </c>
      <c r="C40" s="9">
        <v>50000</v>
      </c>
      <c r="D40" s="9">
        <v>9500</v>
      </c>
      <c r="E40" s="9">
        <v>0</v>
      </c>
      <c r="F40" s="9">
        <v>0</v>
      </c>
      <c r="G40" s="9">
        <v>0</v>
      </c>
    </row>
    <row r="41" spans="1:7" x14ac:dyDescent="0.2">
      <c r="A41" s="7">
        <v>900459737</v>
      </c>
      <c r="B41" s="7" t="s">
        <v>568</v>
      </c>
      <c r="C41" s="9">
        <v>225686</v>
      </c>
      <c r="D41" s="9">
        <v>0</v>
      </c>
      <c r="E41" s="9">
        <v>0</v>
      </c>
      <c r="F41" s="9">
        <v>0</v>
      </c>
      <c r="G41" s="9">
        <v>0</v>
      </c>
    </row>
    <row r="42" spans="1:7" x14ac:dyDescent="0.2">
      <c r="A42" s="7">
        <v>900471052</v>
      </c>
      <c r="B42" s="7" t="s">
        <v>498</v>
      </c>
      <c r="C42" s="9">
        <v>139800</v>
      </c>
      <c r="D42" s="9">
        <v>0</v>
      </c>
      <c r="E42" s="9">
        <v>0</v>
      </c>
      <c r="F42" s="9">
        <v>0</v>
      </c>
      <c r="G42" s="9">
        <v>0</v>
      </c>
    </row>
    <row r="43" spans="1:7" x14ac:dyDescent="0.2">
      <c r="A43" s="7">
        <v>900584970</v>
      </c>
      <c r="B43" s="7" t="s">
        <v>501</v>
      </c>
      <c r="C43" s="9">
        <v>1444532</v>
      </c>
      <c r="D43" s="9">
        <v>274461</v>
      </c>
      <c r="E43" s="9">
        <v>0</v>
      </c>
      <c r="F43" s="9">
        <v>0</v>
      </c>
      <c r="G43" s="9">
        <v>0</v>
      </c>
    </row>
    <row r="44" spans="1:7" x14ac:dyDescent="0.2">
      <c r="A44" s="7">
        <v>900594706</v>
      </c>
      <c r="B44" s="7" t="s">
        <v>530</v>
      </c>
      <c r="C44" s="9">
        <v>168446</v>
      </c>
      <c r="D44" s="9">
        <v>32004.74</v>
      </c>
      <c r="E44" s="9">
        <v>0</v>
      </c>
      <c r="F44" s="9">
        <v>0</v>
      </c>
      <c r="G44" s="9">
        <v>0</v>
      </c>
    </row>
    <row r="45" spans="1:7" x14ac:dyDescent="0.2">
      <c r="A45" s="7">
        <v>900691421</v>
      </c>
      <c r="B45" s="7" t="s">
        <v>1016</v>
      </c>
      <c r="C45" s="9">
        <v>92844.44</v>
      </c>
      <c r="D45" s="9">
        <v>0</v>
      </c>
      <c r="E45" s="9">
        <v>0</v>
      </c>
      <c r="F45" s="9">
        <v>6755.56</v>
      </c>
      <c r="G45" s="9">
        <v>0</v>
      </c>
    </row>
    <row r="46" spans="1:7" x14ac:dyDescent="0.2">
      <c r="A46" s="7">
        <v>900762275</v>
      </c>
      <c r="B46" s="7" t="s">
        <v>532</v>
      </c>
      <c r="C46" s="9">
        <v>8247465.9399999995</v>
      </c>
      <c r="D46" s="9">
        <v>0</v>
      </c>
      <c r="E46" s="9">
        <v>0</v>
      </c>
      <c r="F46" s="9">
        <v>0</v>
      </c>
      <c r="G46" s="9">
        <v>0</v>
      </c>
    </row>
    <row r="47" spans="1:7" x14ac:dyDescent="0.2">
      <c r="A47" s="7">
        <v>900837483</v>
      </c>
      <c r="B47" s="7" t="s">
        <v>665</v>
      </c>
      <c r="C47" s="9">
        <v>107000</v>
      </c>
      <c r="D47" s="9">
        <v>20330</v>
      </c>
      <c r="E47" s="9">
        <v>0</v>
      </c>
      <c r="F47" s="9">
        <v>0</v>
      </c>
      <c r="G47" s="9">
        <v>0</v>
      </c>
    </row>
    <row r="48" spans="1:7" x14ac:dyDescent="0.2">
      <c r="A48" s="7">
        <v>900848266</v>
      </c>
      <c r="B48" s="7" t="s">
        <v>435</v>
      </c>
      <c r="C48" s="9">
        <v>24500</v>
      </c>
      <c r="D48" s="9">
        <v>4655</v>
      </c>
      <c r="E48" s="9">
        <v>0</v>
      </c>
      <c r="F48" s="9">
        <v>0</v>
      </c>
      <c r="G48" s="9">
        <v>0</v>
      </c>
    </row>
    <row r="49" spans="1:7" x14ac:dyDescent="0.2">
      <c r="A49" s="7">
        <v>901051870</v>
      </c>
      <c r="B49" s="7" t="s">
        <v>520</v>
      </c>
      <c r="C49" s="9">
        <v>225378.16</v>
      </c>
      <c r="D49" s="9">
        <v>8621.84</v>
      </c>
      <c r="E49" s="9">
        <v>0</v>
      </c>
      <c r="F49" s="9">
        <v>0</v>
      </c>
      <c r="G49" s="9">
        <v>0</v>
      </c>
    </row>
    <row r="50" spans="1:7" x14ac:dyDescent="0.2">
      <c r="A50" s="7">
        <v>901098244</v>
      </c>
      <c r="B50" s="7" t="s">
        <v>595</v>
      </c>
      <c r="C50" s="9">
        <v>1700000</v>
      </c>
      <c r="D50" s="9">
        <v>228000</v>
      </c>
      <c r="E50" s="9">
        <v>0</v>
      </c>
      <c r="F50" s="9">
        <v>0</v>
      </c>
      <c r="G50" s="9">
        <v>0</v>
      </c>
    </row>
    <row r="51" spans="1:7" x14ac:dyDescent="0.2">
      <c r="A51" s="7">
        <v>901113791</v>
      </c>
      <c r="B51" s="7" t="s">
        <v>836</v>
      </c>
      <c r="C51" s="9">
        <v>400992</v>
      </c>
      <c r="D51" s="9">
        <v>0</v>
      </c>
      <c r="E51" s="9">
        <v>0</v>
      </c>
      <c r="F51" s="9">
        <v>29163</v>
      </c>
      <c r="G51" s="9">
        <v>0</v>
      </c>
    </row>
    <row r="52" spans="1:7" x14ac:dyDescent="0.2">
      <c r="A52" s="7">
        <v>901161479</v>
      </c>
      <c r="B52" s="7" t="s">
        <v>476</v>
      </c>
      <c r="C52" s="9">
        <v>3523540</v>
      </c>
      <c r="D52" s="9">
        <v>669472.60000000009</v>
      </c>
      <c r="E52" s="9">
        <v>0</v>
      </c>
      <c r="F52" s="9">
        <v>0</v>
      </c>
      <c r="G52" s="9">
        <v>0</v>
      </c>
    </row>
    <row r="53" spans="1:7" x14ac:dyDescent="0.2">
      <c r="A53" s="7">
        <v>901192317</v>
      </c>
      <c r="B53" s="7" t="s">
        <v>492</v>
      </c>
      <c r="C53" s="9">
        <v>23445542.320000004</v>
      </c>
      <c r="D53" s="9">
        <v>4454665</v>
      </c>
      <c r="E53" s="9">
        <v>0</v>
      </c>
      <c r="F53" s="9">
        <v>0</v>
      </c>
      <c r="G53" s="9">
        <v>0</v>
      </c>
    </row>
    <row r="54" spans="1:7" x14ac:dyDescent="0.2">
      <c r="A54" s="7">
        <v>901217437</v>
      </c>
      <c r="B54" s="7" t="s">
        <v>917</v>
      </c>
      <c r="C54" s="9">
        <v>24369.75</v>
      </c>
      <c r="D54" s="9">
        <v>4630.25</v>
      </c>
      <c r="E54" s="9">
        <v>0</v>
      </c>
      <c r="F54" s="9">
        <v>0</v>
      </c>
      <c r="G54" s="9">
        <v>0</v>
      </c>
    </row>
    <row r="55" spans="1:7" x14ac:dyDescent="0.2">
      <c r="A55" s="7">
        <v>901224934</v>
      </c>
      <c r="B55" s="7" t="s">
        <v>806</v>
      </c>
      <c r="C55" s="9">
        <v>180000</v>
      </c>
      <c r="D55" s="9">
        <v>0</v>
      </c>
      <c r="E55" s="9">
        <v>0</v>
      </c>
      <c r="F55" s="9">
        <v>0</v>
      </c>
      <c r="G55" s="9">
        <v>0</v>
      </c>
    </row>
    <row r="56" spans="1:7" x14ac:dyDescent="0.2">
      <c r="A56" s="7">
        <v>901237330</v>
      </c>
      <c r="B56" s="7" t="s">
        <v>545</v>
      </c>
      <c r="C56" s="9">
        <v>442562.95999999996</v>
      </c>
      <c r="D56" s="9">
        <v>84086.959999999992</v>
      </c>
      <c r="E56" s="9">
        <v>0</v>
      </c>
      <c r="F56" s="9">
        <v>0</v>
      </c>
      <c r="G56" s="9">
        <v>0</v>
      </c>
    </row>
    <row r="57" spans="1:7" x14ac:dyDescent="0.2">
      <c r="A57" s="7">
        <v>901273723</v>
      </c>
      <c r="B57" s="7" t="s">
        <v>847</v>
      </c>
      <c r="C57" s="9">
        <v>868570.02</v>
      </c>
      <c r="D57" s="9">
        <v>69214.28</v>
      </c>
      <c r="E57" s="9">
        <v>0</v>
      </c>
      <c r="F57" s="9">
        <v>36103.699999999997</v>
      </c>
      <c r="G57" s="9">
        <v>0</v>
      </c>
    </row>
    <row r="58" spans="1:7" x14ac:dyDescent="0.2">
      <c r="A58" s="7">
        <v>901334425</v>
      </c>
      <c r="B58" s="7" t="s">
        <v>790</v>
      </c>
      <c r="C58" s="9">
        <v>14327984.75</v>
      </c>
      <c r="D58" s="9">
        <v>0</v>
      </c>
      <c r="E58" s="9">
        <v>0</v>
      </c>
      <c r="F58" s="9">
        <v>0</v>
      </c>
      <c r="G58" s="9">
        <v>0</v>
      </c>
    </row>
    <row r="59" spans="1:7" x14ac:dyDescent="0.2">
      <c r="A59" s="7">
        <v>901421223</v>
      </c>
      <c r="B59" s="7" t="s">
        <v>517</v>
      </c>
      <c r="C59" s="9">
        <v>151260.5</v>
      </c>
      <c r="D59" s="9">
        <v>28739.5</v>
      </c>
      <c r="E59" s="9">
        <v>0</v>
      </c>
      <c r="F59" s="9">
        <v>0</v>
      </c>
      <c r="G59" s="9">
        <v>0</v>
      </c>
    </row>
    <row r="60" spans="1:7" x14ac:dyDescent="0.2">
      <c r="A60" s="7">
        <v>901438120</v>
      </c>
      <c r="B60" s="7" t="s">
        <v>929</v>
      </c>
      <c r="C60" s="9">
        <v>2882459.58</v>
      </c>
      <c r="D60" s="9">
        <v>0</v>
      </c>
      <c r="E60" s="9">
        <v>0</v>
      </c>
      <c r="F60" s="9">
        <v>0</v>
      </c>
      <c r="G60" s="9">
        <v>0</v>
      </c>
    </row>
    <row r="61" spans="1:7" x14ac:dyDescent="0.2">
      <c r="A61" s="7">
        <v>901439094</v>
      </c>
      <c r="B61" s="7" t="s">
        <v>856</v>
      </c>
      <c r="C61" s="9">
        <v>29411.764709999999</v>
      </c>
      <c r="D61" s="9">
        <v>5588.2352899999996</v>
      </c>
      <c r="E61" s="9">
        <v>0</v>
      </c>
      <c r="F61" s="9">
        <v>0</v>
      </c>
      <c r="G61" s="9">
        <v>0</v>
      </c>
    </row>
    <row r="62" spans="1:7" x14ac:dyDescent="0.2">
      <c r="A62" s="7">
        <v>901476410</v>
      </c>
      <c r="B62" s="7" t="s">
        <v>473</v>
      </c>
      <c r="C62" s="9">
        <v>24579912</v>
      </c>
      <c r="D62" s="9">
        <v>3415988</v>
      </c>
      <c r="E62" s="9">
        <v>0</v>
      </c>
      <c r="F62" s="9">
        <v>0</v>
      </c>
      <c r="G62" s="9">
        <v>0</v>
      </c>
    </row>
    <row r="63" spans="1:7" x14ac:dyDescent="0.2">
      <c r="A63" s="7">
        <v>901519900</v>
      </c>
      <c r="B63" s="7" t="s">
        <v>467</v>
      </c>
      <c r="C63" s="9">
        <v>376460.51</v>
      </c>
      <c r="D63" s="9">
        <v>29537.49</v>
      </c>
      <c r="E63" s="9">
        <v>0</v>
      </c>
      <c r="F63" s="9">
        <v>0</v>
      </c>
      <c r="G63" s="9">
        <v>0</v>
      </c>
    </row>
    <row r="64" spans="1:7" x14ac:dyDescent="0.2">
      <c r="A64" s="7">
        <v>901552737</v>
      </c>
      <c r="B64" s="7" t="s">
        <v>1026</v>
      </c>
      <c r="C64" s="9">
        <v>290000</v>
      </c>
      <c r="D64" s="9">
        <v>55100</v>
      </c>
      <c r="E64" s="9">
        <v>0</v>
      </c>
      <c r="F64" s="9">
        <v>0</v>
      </c>
      <c r="G64" s="9">
        <v>0</v>
      </c>
    </row>
    <row r="65" spans="1:12" x14ac:dyDescent="0.2">
      <c r="A65" s="7">
        <v>901575358</v>
      </c>
      <c r="B65" s="7" t="s">
        <v>620</v>
      </c>
      <c r="C65" s="9">
        <v>3783024.12</v>
      </c>
      <c r="D65" s="9">
        <v>718774.58</v>
      </c>
      <c r="E65" s="9">
        <v>0</v>
      </c>
      <c r="F65" s="9">
        <v>0</v>
      </c>
      <c r="G65" s="9">
        <v>0</v>
      </c>
    </row>
    <row r="66" spans="1:12" x14ac:dyDescent="0.2">
      <c r="A66" s="7">
        <v>901606621</v>
      </c>
      <c r="B66" s="7" t="s">
        <v>968</v>
      </c>
      <c r="C66" s="9">
        <v>163697.4</v>
      </c>
      <c r="D66" s="9">
        <v>31102.510000000002</v>
      </c>
      <c r="E66" s="9">
        <v>0</v>
      </c>
      <c r="F66" s="9">
        <v>0</v>
      </c>
      <c r="G66" s="9">
        <v>0</v>
      </c>
      <c r="I66" s="11" t="s">
        <v>1079</v>
      </c>
      <c r="J66" s="11" t="s">
        <v>1080</v>
      </c>
      <c r="K66" s="11" t="s">
        <v>1081</v>
      </c>
      <c r="L66" s="7">
        <v>2205</v>
      </c>
    </row>
    <row r="67" spans="1:12" x14ac:dyDescent="0.2">
      <c r="A67" s="7">
        <v>901649254</v>
      </c>
      <c r="B67" s="7" t="s">
        <v>429</v>
      </c>
      <c r="C67" s="9">
        <v>52220151.819999993</v>
      </c>
      <c r="D67" s="9">
        <v>9921828.8599999994</v>
      </c>
      <c r="E67" s="9">
        <v>0</v>
      </c>
      <c r="F67" s="9">
        <v>0</v>
      </c>
      <c r="G67" s="9">
        <v>0</v>
      </c>
      <c r="I67" s="9">
        <v>3130000</v>
      </c>
      <c r="J67" s="9">
        <f>+GETPIVOTDATA("Suma de SUBTOTAL",$A$1,"NIT Emisor",901649254,"Nombre Emisor","JSA DISTRIBUCIONES S.A.S.")+GETPIVOTDATA("Suma de IVA",$A$1,"NIT Emisor",901649254,"Nombre Emisor","JSA DISTRIBUCIONES S.A.S.")</f>
        <v>62141980.679999992</v>
      </c>
      <c r="K67" s="9">
        <f>+GETPIVOTDATA("Suma de SUBTOTAL",$A$1,"NIT Emisor",901649254,"Nombre Emisor","JSA DISTRIBUCIONES S.A.S.")*2.5%</f>
        <v>1305503.7955</v>
      </c>
      <c r="L67" s="9">
        <f>+J67-I67-K67</f>
        <v>57706476.884499989</v>
      </c>
    </row>
    <row r="68" spans="1:12" x14ac:dyDescent="0.2">
      <c r="A68" s="7">
        <v>901660770</v>
      </c>
      <c r="B68" s="7" t="s">
        <v>1008</v>
      </c>
      <c r="C68" s="9">
        <v>185881.47</v>
      </c>
      <c r="D68" s="9">
        <v>0</v>
      </c>
      <c r="E68" s="9">
        <v>0</v>
      </c>
      <c r="F68" s="9">
        <v>13518.51</v>
      </c>
      <c r="G68" s="9">
        <v>0</v>
      </c>
    </row>
    <row r="69" spans="1:12" x14ac:dyDescent="0.2">
      <c r="A69" s="7">
        <v>901718849</v>
      </c>
      <c r="B69" s="7" t="s">
        <v>646</v>
      </c>
      <c r="C69" s="9">
        <v>5064232</v>
      </c>
      <c r="D69" s="9">
        <v>0</v>
      </c>
      <c r="E69" s="9">
        <v>0</v>
      </c>
      <c r="F69" s="9">
        <v>0</v>
      </c>
      <c r="G69" s="9">
        <v>0</v>
      </c>
    </row>
    <row r="70" spans="1:12" x14ac:dyDescent="0.2">
      <c r="A70" s="7">
        <v>901784030</v>
      </c>
      <c r="B70" s="7" t="s">
        <v>786</v>
      </c>
      <c r="C70" s="9">
        <v>161759.25</v>
      </c>
      <c r="D70" s="9">
        <v>0</v>
      </c>
      <c r="E70" s="9">
        <v>0</v>
      </c>
      <c r="F70" s="9">
        <v>12940.75</v>
      </c>
      <c r="G70" s="9">
        <v>0</v>
      </c>
    </row>
    <row r="71" spans="1:12" x14ac:dyDescent="0.2">
      <c r="A71" s="7">
        <v>901939945</v>
      </c>
      <c r="B71" s="7" t="s">
        <v>454</v>
      </c>
      <c r="C71" s="9">
        <v>197075.65</v>
      </c>
      <c r="D71" s="9">
        <v>35924.370000000003</v>
      </c>
      <c r="E71" s="9">
        <v>0</v>
      </c>
      <c r="F71" s="9">
        <v>0</v>
      </c>
      <c r="G71" s="9">
        <v>0</v>
      </c>
    </row>
    <row r="72" spans="1:12" x14ac:dyDescent="0.2">
      <c r="A72" s="7">
        <v>901972453</v>
      </c>
      <c r="B72" s="7" t="s">
        <v>780</v>
      </c>
      <c r="C72" s="9">
        <v>92782</v>
      </c>
      <c r="D72" s="9">
        <v>17628.580000000002</v>
      </c>
      <c r="E72" s="9">
        <v>0</v>
      </c>
      <c r="F72" s="9">
        <v>0</v>
      </c>
      <c r="G72" s="9">
        <v>0</v>
      </c>
    </row>
    <row r="73" spans="1:12" x14ac:dyDescent="0.2">
      <c r="A73" s="7">
        <v>1003880015</v>
      </c>
      <c r="B73" s="7" t="s">
        <v>431</v>
      </c>
      <c r="C73" s="9">
        <v>202000</v>
      </c>
      <c r="D73" s="9">
        <v>0</v>
      </c>
      <c r="E73" s="9">
        <v>0</v>
      </c>
      <c r="F73" s="9">
        <v>0</v>
      </c>
      <c r="G73" s="9">
        <v>0</v>
      </c>
    </row>
    <row r="74" spans="1:12" x14ac:dyDescent="0.2">
      <c r="A74" s="7">
        <v>1128277256</v>
      </c>
      <c r="B74" s="7" t="s">
        <v>832</v>
      </c>
      <c r="C74" s="9">
        <v>518487.4</v>
      </c>
      <c r="D74" s="9">
        <v>98512.61</v>
      </c>
      <c r="E74" s="9">
        <v>0</v>
      </c>
      <c r="F74" s="9">
        <v>0</v>
      </c>
      <c r="G74" s="9">
        <v>0</v>
      </c>
    </row>
    <row r="75" spans="1:12" x14ac:dyDescent="0.2">
      <c r="A75" s="7">
        <v>1128404762</v>
      </c>
      <c r="B75" s="7" t="s">
        <v>823</v>
      </c>
      <c r="C75" s="9">
        <v>60000</v>
      </c>
      <c r="D75" s="9">
        <v>11400</v>
      </c>
      <c r="E75" s="9">
        <v>0</v>
      </c>
      <c r="F75" s="9">
        <v>0</v>
      </c>
      <c r="G75" s="9">
        <v>0</v>
      </c>
    </row>
    <row r="76" spans="1:12" x14ac:dyDescent="0.2">
      <c r="A76" s="11" t="s">
        <v>423</v>
      </c>
      <c r="B76" s="11"/>
      <c r="C76" s="9">
        <v>358782686.17470992</v>
      </c>
      <c r="D76" s="9">
        <v>24769169.895289999</v>
      </c>
      <c r="E76" s="9">
        <v>5844</v>
      </c>
      <c r="F76" s="9">
        <v>146053.18</v>
      </c>
      <c r="G76" s="9">
        <v>318</v>
      </c>
    </row>
    <row r="79" spans="1:12" x14ac:dyDescent="0.2">
      <c r="C79" s="8">
        <f>+GETPIVOTDATA("Suma de SUBTOTAL",$A$1)+GETPIVOTDATA("Suma de IC",$A$1)+GETPIVOTDATA("Suma de INC",$A$1)+GETPIVOTDATA("Suma de INC Bolsas",$A$1)</f>
        <v>358934901.35470992</v>
      </c>
      <c r="D79" s="11" t="s">
        <v>1084</v>
      </c>
    </row>
    <row r="80" spans="1:12" x14ac:dyDescent="0.2">
      <c r="C80" s="9">
        <f>+GETPIVOTDATA("Suma de SUBTOTAL",$A$1)-C79</f>
        <v>-152215.18000000715</v>
      </c>
      <c r="G80" s="9">
        <f>+GETPIVOTDATA("Suma de INC Bolsas",$A$1)+GETPIVOTDATA("Suma de INC",$A$1)+GETPIVOTDATA("Suma de IC",$A$1)</f>
        <v>152215.18</v>
      </c>
      <c r="H80" s="7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ingresos</vt:lpstr>
      <vt:lpstr>Hoja3ok</vt:lpstr>
      <vt:lpstr>Costos</vt:lpstr>
      <vt:lpstr>Análisis Costos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Alcalá</dc:creator>
  <cp:lastModifiedBy>Alejandro Martinez Tecnotics</cp:lastModifiedBy>
  <dcterms:created xsi:type="dcterms:W3CDTF">2026-03-30T07:45:37Z</dcterms:created>
  <dcterms:modified xsi:type="dcterms:W3CDTF">2026-06-19T21:23:41Z</dcterms:modified>
</cp:coreProperties>
</file>